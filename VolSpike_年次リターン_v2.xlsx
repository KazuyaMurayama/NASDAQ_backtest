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nasdaq_backtest\"/>
    </mc:Choice>
  </mc:AlternateContent>
  <xr:revisionPtr revIDLastSave="0" documentId="13_ncr:1_{31C04D01-C91B-4CC3-B18E-B7062E3AE15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年次リターン" sheetId="1" r:id="rId1"/>
    <sheet name="計算前提・ロジック詳細" sheetId="3" r:id="rId2"/>
    <sheet name="サマリー統計・戦略定義" sheetId="4" r:id="rId3"/>
  </sheets>
  <definedNames>
    <definedName name="_xlnm.Print_Titles" localSheetId="0">年次リターン!$1:$1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<sst xmlns="http://schemas.openxmlformats.org/spreadsheetml/2006/main" count="215" uniqueCount="152">
  <si>
    <t>年</t>
  </si>
  <si>
    <t>DD+VT+VolSpike
(1.5x) [推奨]</t>
  </si>
  <si>
    <t>DD(-18/92)
+VT(25%)</t>
  </si>
  <si>
    <t>Buy&amp;Hold
3倍</t>
  </si>
  <si>
    <t>NASDAQ
1倍</t>
  </si>
  <si>
    <t>年末
状態</t>
  </si>
  <si>
    <t>現金</t>
  </si>
  <si>
    <t>保有</t>
  </si>
  <si>
    <t>戦略定義とパラメータ</t>
  </si>
  <si>
    <t>戦略名</t>
  </si>
  <si>
    <t>Layer1: DD制御</t>
  </si>
  <si>
    <t>Layer2: ボラティリティ
ターゲティング</t>
  </si>
  <si>
    <t>Layer3: 追加フィルター</t>
  </si>
  <si>
    <t>取引
回数</t>
  </si>
  <si>
    <t>DD(-18/92)+VT(25%)
+VolSpike(1.5x)
【推奨戦略】</t>
  </si>
  <si>
    <t>退出: 200日高値から-18%下落
復帰: 92%回復時</t>
  </si>
  <si>
    <t>Target Vol: 25%
EWMA Span: 10日
max_lev: 1.0</t>
  </si>
  <si>
    <t>ボラ急騰検出:
今日Vol/昨日Vol &gt; 1.5倍
→ レバレッジ×0.5</t>
  </si>
  <si>
    <t>30回</t>
  </si>
  <si>
    <t>DD(-18/92)+VT(25%)
【ベースライン】</t>
  </si>
  <si>
    <t>なし</t>
  </si>
  <si>
    <t>Buy &amp; Hold 3倍
【参考】</t>
  </si>
  <si>
    <t>なし（常時投資）</t>
  </si>
  <si>
    <t>なし（常時100%）</t>
  </si>
  <si>
    <t>0回</t>
  </si>
  <si>
    <t>NASDAQ 1倍
【参考指数】</t>
  </si>
  <si>
    <t>該当なし</t>
  </si>
  <si>
    <t>該当なし（レバなし指数）</t>
  </si>
  <si>
    <t>計算前提・戦略ロジック詳細</t>
  </si>
  <si>
    <t>■ 計算前提</t>
  </si>
  <si>
    <t>データ期間</t>
  </si>
  <si>
    <t>1974年1月2日 ～ 2021年5月7日（47年間、11,943営業日）</t>
  </si>
  <si>
    <t>データソース</t>
  </si>
  <si>
    <t>NASDAQ Composite Index (^IXIC) - Yahoo Finance</t>
  </si>
  <si>
    <t>ベースレバレッジ</t>
  </si>
  <si>
    <t>3倍（日次リバランス、TQQQシミュレーション）</t>
  </si>
  <si>
    <t>年間コスト</t>
  </si>
  <si>
    <t>0.9%（経費率、投資時のみ日割りで控除）</t>
  </si>
  <si>
    <t>現金保有時リターン</t>
  </si>
  <si>
    <t>0%（金利なし）</t>
  </si>
  <si>
    <t>無リスク金利</t>
  </si>
  <si>
    <t>0%（シャープレシオ計算用）</t>
  </si>
  <si>
    <t>取引回数カウント</t>
  </si>
  <si>
    <t>バイナリ状態遷移のみ（保有↔現金）</t>
  </si>
  <si>
    <t>VT max_lev</t>
  </si>
  <si>
    <t>1.0（実効レバレッジ上限3倍、9倍ではない）</t>
  </si>
  <si>
    <t>EWMAボラティリティ</t>
  </si>
  <si>
    <t>指数加重移動平均、Span=10日、年率換算（×√252）</t>
  </si>
  <si>
    <t>DDルックバック</t>
  </si>
  <si>
    <t>200営業日で高値追跡</t>
  </si>
  <si>
    <t>Vol Spike閾値</t>
  </si>
  <si>
    <t>今日のEWMA Vol / 昨日のEWMA Vol &gt; 1.5倍で発動</t>
  </si>
  <si>
    <t>■ DD+VT+VolSpike(1.5x) 戦略ロジック</t>
  </si>
  <si>
    <t>【Layer 1: ドローダウン(DD)制御】</t>
  </si>
  <si>
    <t>目的</t>
  </si>
  <si>
    <t>暴落時の壊滅的損失を回避</t>
  </si>
  <si>
    <t>仕組み</t>
  </si>
  <si>
    <t>過去200日の最高値を追跡</t>
  </si>
  <si>
    <t>退出シグナル</t>
  </si>
  <si>
    <t>現在価格 / 200日高値 ≤ 0.82 → 現金へ退避</t>
  </si>
  <si>
    <t>復帰シグナル</t>
  </si>
  <si>
    <t>現在価格 / 200日高値 ≥ 0.92 → 保有へ復帰</t>
  </si>
  <si>
    <t>【Layer 2: ボラティリティターゲティング(VT)】</t>
  </si>
  <si>
    <t>市場ボラティリティに応じてポジションサイズ調整</t>
  </si>
  <si>
    <t>EWMA Vol計算</t>
  </si>
  <si>
    <t>ewma_vol = EWMA(日次リターン, span=10) × √252</t>
  </si>
  <si>
    <t>レバレッジ計算</t>
  </si>
  <si>
    <t>vt_leverage = min(0.25 / ewma_vol, 1.0)</t>
  </si>
  <si>
    <t>効果</t>
  </si>
  <si>
    <t>高ボラ→低レバ、低ボラ→高レバ（上限1.0）</t>
  </si>
  <si>
    <t>【Layer 3: ボラ急騰検出】</t>
  </si>
  <si>
    <t>急激なボラティリティ上昇時の追加保護</t>
  </si>
  <si>
    <t>検出方法</t>
  </si>
  <si>
    <t>vol_ratio = 今日のewma_vol / 昨日のewma_vol</t>
  </si>
  <si>
    <t>発動条件</t>
  </si>
  <si>
    <t>vol_ratio &gt; 1.5 → スパイク検出</t>
  </si>
  <si>
    <t>アクション</t>
  </si>
  <si>
    <t>スパイク時: final_leverage = vt_leverage × 0.5</t>
  </si>
  <si>
    <t>【最終ポジション計算】</t>
  </si>
  <si>
    <t>計算式</t>
  </si>
  <si>
    <t>final_lev = DD信号 × VTレバ × (0.5 if スパイク else 1.0)</t>
  </si>
  <si>
    <t>レンジ</t>
  </si>
  <si>
    <t>0（現金）～ 1.0（3倍商品に100%投資）</t>
  </si>
  <si>
    <t>実効レバレッジ</t>
  </si>
  <si>
    <t>0倍 ～ 3倍（final_leverage × 3）</t>
  </si>
  <si>
    <t>パフォーマンスサマリー（1974-2021年）</t>
  </si>
  <si>
    <t>指標</t>
  </si>
  <si>
    <t>最終資産（$1開始）</t>
  </si>
  <si>
    <t>$468,850</t>
  </si>
  <si>
    <t>$252,614</t>
  </si>
  <si>
    <t>$5,524</t>
  </si>
  <si>
    <t>$149</t>
  </si>
  <si>
    <t>年率複利成長率(CAGR)</t>
  </si>
  <si>
    <t>32.03%</t>
  </si>
  <si>
    <t>30.30%</t>
  </si>
  <si>
    <t>20.12%</t>
  </si>
  <si>
    <t>11.23%</t>
  </si>
  <si>
    <t>最高年リターン</t>
  </si>
  <si>
    <t>+312.4%</t>
  </si>
  <si>
    <t>+334.2%</t>
  </si>
  <si>
    <t>+405.0%</t>
  </si>
  <si>
    <t>+85.6%</t>
  </si>
  <si>
    <t>最低年リターン</t>
  </si>
  <si>
    <t>-44.4%</t>
  </si>
  <si>
    <t>-89.2%</t>
  </si>
  <si>
    <t>-40.5%</t>
  </si>
  <si>
    <t>プラス年数</t>
  </si>
  <si>
    <t>34/48年</t>
  </si>
  <si>
    <t>33/48年</t>
  </si>
  <si>
    <t>35/48年</t>
  </si>
  <si>
    <t>36/48年</t>
  </si>
  <si>
    <t>勝率</t>
  </si>
  <si>
    <t>70.8%</t>
  </si>
  <si>
    <t>68.8%</t>
  </si>
  <si>
    <t>72.9%</t>
  </si>
  <si>
    <t>75.0%</t>
  </si>
  <si>
    <t>平均年リターン</t>
  </si>
  <si>
    <t>+43.5%</t>
  </si>
  <si>
    <t>+42.5%</t>
  </si>
  <si>
    <t>+50.6%</t>
  </si>
  <si>
    <t>+13.9%</t>
  </si>
  <si>
    <t>中央値年リターン</t>
  </si>
  <si>
    <t>+29.6%</t>
  </si>
  <si>
    <t>+29.7%</t>
  </si>
  <si>
    <t>+42.3%</t>
  </si>
  <si>
    <t>+15.1%</t>
  </si>
  <si>
    <t>危機年パフォーマンス比較</t>
  </si>
  <si>
    <t>DD+VT+VolSpike</t>
  </si>
  <si>
    <t>Buy&amp;Hold 3x</t>
  </si>
  <si>
    <t>NASDAQ 1x</t>
  </si>
  <si>
    <t>保護効果</t>
  </si>
  <si>
    <t>-36.9%</t>
  </si>
  <si>
    <t>-75.8%</t>
  </si>
  <si>
    <t>-35.4%</t>
  </si>
  <si>
    <t>+38.9%</t>
  </si>
  <si>
    <t>18.3%</t>
  </si>
  <si>
    <t>-31.9%</t>
  </si>
  <si>
    <t>-5.2%</t>
  </si>
  <si>
    <t>+50.2%</t>
  </si>
  <si>
    <t>-5.3%</t>
  </si>
  <si>
    <t>-39.3%</t>
  </si>
  <si>
    <t>+83.9%</t>
  </si>
  <si>
    <t>0.0%</t>
  </si>
  <si>
    <t>-71.9%</t>
  </si>
  <si>
    <t>-21.1%</t>
  </si>
  <si>
    <t>+71.9%</t>
  </si>
  <si>
    <t>-77.6%</t>
  </si>
  <si>
    <t>-31.5%</t>
  </si>
  <si>
    <t>+77.6%</t>
  </si>
  <si>
    <t>-31.1%</t>
  </si>
  <si>
    <t>-87.6%</t>
  </si>
  <si>
    <t>+56.5%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</si>
</sst>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;\-0.00;0.00"/>
  </numFmts>
  <fonts count="10">
    <font>
      <sz val="11"/>
      <color theme="1"/>
      <name val="ＭＳ Ｐゴシック"/>
      <family val="2"/>
      <scheme val="minor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b/>
      <sz val="14"/>
      <name val="Yu Gothic"/>
      <family val="3"/>
      <charset val="128"/>
    </font>
    <font>
      <b/>
      <sz val="10"/>
      <name val="Yu Gothic"/>
      <family val="3"/>
      <charset val="128"/>
    </font>
    <font>
      <b/>
      <sz val="11"/>
      <color rgb="FF4472C4"/>
      <name val="Yu Gothic"/>
      <family val="3"/>
      <charset val="128"/>
    </font>
    <font>
      <b/>
      <sz val="11"/>
      <color rgb="FF2F5496"/>
      <name val="Yu Gothic"/>
      <family val="3"/>
      <charset val="128"/>
    </font>
    <font>
      <b/>
      <sz val="10"/>
      <color rgb="FF006100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rgb="FFFF0000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5" fillId="0" borderId="0" xfId="0" applyFont="1"/>
    <xf numFmtId="0" fontId="3" fillId="0" borderId="0" xfId="0" applyFont="1"/>
  </cellXfs>
  <cellStyles count="1">
    <cellStyle name="標準" xfId="0" builtinId="0"/>
  </cellStyles>
  <dxfs count="2">
    <dxf>
      <font>
        <sz val="10"/>
        <color rgb="FF9C0006"/>
        <name val="Yu Gothic"/>
      </font>
      <fill>
        <patternFill patternType="solid">
          <fgColor rgb="FFF4CCCC"/>
          <bgColor rgb="FFF4CCCC"/>
        </patternFill>
      </fill>
    </dxf>
    <dxf>
      <font>
        <sz val="10"/>
        <color rgb="FF006100"/>
        <name val="Yu Gothic"/>
      </font>
      <fill>
        <patternFill patternType="solid">
          <fgColor rgb="FFD9EAD3"/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tabSelected="1" workbookViewId="0"/>
  </sheetViews>
  <sheetFormatPr defaultRowHeight="13.2"/>
  <cols>
    <col min="1" max="1" width="7.109375" customWidth="1"/>
    <col min="2" max="5" width="18.109375" customWidth="1"/>
    <col min="6" max="6" width="7" customWidth="1"/>
  </cols>
  <sheetData>
    <row r="1" spans="1:6" ht="34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2">
      <c r="A2" s="2">
        <v>1974</v>
      </c>
      <c r="B2" s="3">
        <v>-36.89</v>
      </c>
      <c r="C2" s="3">
        <v>-39.17</v>
      </c>
      <c r="D2" s="3">
        <v>-75.760000000000005</v>
      </c>
      <c r="E2" s="3">
        <v>-35.35</v>
      </c>
      <c r="F2" s="2" t="s">
        <v>6</v>
      </c>
    </row>
    <row r="3" spans="1:6" ht="16.2">
      <c r="A3" s="2">
        <v>1975</v>
      </c>
      <c r="B3" s="3">
        <v>8.2200000000000006</v>
      </c>
      <c r="C3" s="3">
        <v>4.62</v>
      </c>
      <c r="D3" s="3">
        <v>105.45</v>
      </c>
      <c r="E3" s="3">
        <v>29.76</v>
      </c>
      <c r="F3" s="2" t="s">
        <v>7</v>
      </c>
    </row>
    <row r="4" spans="1:6" ht="16.2">
      <c r="A4" s="2">
        <v>1976</v>
      </c>
      <c r="B4" s="3">
        <v>93.4</v>
      </c>
      <c r="C4" s="3">
        <v>94.42</v>
      </c>
      <c r="D4" s="3">
        <v>94.42</v>
      </c>
      <c r="E4" s="3">
        <v>26.1</v>
      </c>
      <c r="F4" s="2" t="s">
        <v>7</v>
      </c>
    </row>
    <row r="5" spans="1:6" ht="16.2">
      <c r="A5" s="2">
        <v>1977</v>
      </c>
      <c r="B5" s="3">
        <v>25.5</v>
      </c>
      <c r="C5" s="3">
        <v>20.91</v>
      </c>
      <c r="D5" s="3">
        <v>20.91</v>
      </c>
      <c r="E5" s="3">
        <v>7.33</v>
      </c>
      <c r="F5" s="2" t="s">
        <v>7</v>
      </c>
    </row>
    <row r="6" spans="1:6" ht="16.2">
      <c r="A6" s="2">
        <v>1978</v>
      </c>
      <c r="B6" s="3">
        <v>25.96</v>
      </c>
      <c r="C6" s="3">
        <v>18.239999999999998</v>
      </c>
      <c r="D6" s="3">
        <v>34.799999999999997</v>
      </c>
      <c r="E6" s="3">
        <v>12.31</v>
      </c>
      <c r="F6" s="2" t="s">
        <v>6</v>
      </c>
    </row>
    <row r="7" spans="1:6" ht="16.2">
      <c r="A7" s="2">
        <v>1979</v>
      </c>
      <c r="B7" s="3">
        <v>74.95</v>
      </c>
      <c r="C7" s="3">
        <v>58.08</v>
      </c>
      <c r="D7" s="3">
        <v>101.06</v>
      </c>
      <c r="E7" s="3">
        <v>28.11</v>
      </c>
      <c r="F7" s="2" t="s">
        <v>7</v>
      </c>
    </row>
    <row r="8" spans="1:6" ht="16.2">
      <c r="A8" s="2">
        <v>1980</v>
      </c>
      <c r="B8" s="3">
        <v>68.06</v>
      </c>
      <c r="C8" s="3">
        <v>56.98</v>
      </c>
      <c r="D8" s="3">
        <v>119.66</v>
      </c>
      <c r="E8" s="3">
        <v>33.880000000000003</v>
      </c>
      <c r="F8" s="2" t="s">
        <v>7</v>
      </c>
    </row>
    <row r="9" spans="1:6" ht="16.2">
      <c r="A9" s="2">
        <v>1981</v>
      </c>
      <c r="B9" s="3">
        <v>-27.24</v>
      </c>
      <c r="C9" s="3">
        <v>-32.35</v>
      </c>
      <c r="D9" s="3">
        <v>-14.08</v>
      </c>
      <c r="E9" s="3">
        <v>-3.21</v>
      </c>
      <c r="F9" s="2" t="s">
        <v>6</v>
      </c>
    </row>
    <row r="10" spans="1:6" ht="16.2">
      <c r="A10" s="2">
        <v>1982</v>
      </c>
      <c r="B10" s="3">
        <v>85.53</v>
      </c>
      <c r="C10" s="3">
        <v>89.29</v>
      </c>
      <c r="D10" s="3">
        <v>57.38</v>
      </c>
      <c r="E10" s="3">
        <v>18.670000000000002</v>
      </c>
      <c r="F10" s="2" t="s">
        <v>7</v>
      </c>
    </row>
    <row r="11" spans="1:6" ht="16.2">
      <c r="A11" s="2">
        <v>1983</v>
      </c>
      <c r="B11" s="3">
        <v>55.62</v>
      </c>
      <c r="C11" s="3">
        <v>48.73</v>
      </c>
      <c r="D11" s="3">
        <v>63.57</v>
      </c>
      <c r="E11" s="3">
        <v>19.87</v>
      </c>
      <c r="F11" s="2" t="s">
        <v>6</v>
      </c>
    </row>
    <row r="12" spans="1:6" ht="16.2">
      <c r="A12" s="2">
        <v>1984</v>
      </c>
      <c r="B12" s="3">
        <v>4.6399999999999997</v>
      </c>
      <c r="C12" s="3">
        <v>-2.06</v>
      </c>
      <c r="D12" s="3">
        <v>-34.340000000000003</v>
      </c>
      <c r="E12" s="3">
        <v>-11.31</v>
      </c>
      <c r="F12" s="2" t="s">
        <v>7</v>
      </c>
    </row>
    <row r="13" spans="1:6" ht="16.2">
      <c r="A13" s="2">
        <v>1985</v>
      </c>
      <c r="B13" s="3">
        <v>122.52</v>
      </c>
      <c r="C13" s="3">
        <v>120.93</v>
      </c>
      <c r="D13" s="3">
        <v>120.93</v>
      </c>
      <c r="E13" s="3">
        <v>31.49</v>
      </c>
      <c r="F13" s="2" t="s">
        <v>7</v>
      </c>
    </row>
    <row r="14" spans="1:6" ht="16.2">
      <c r="A14" s="2">
        <v>1986</v>
      </c>
      <c r="B14" s="3">
        <v>28.31</v>
      </c>
      <c r="C14" s="3">
        <v>18.760000000000002</v>
      </c>
      <c r="D14" s="3">
        <v>18.760000000000002</v>
      </c>
      <c r="E14" s="3">
        <v>7.36</v>
      </c>
      <c r="F14" s="2" t="s">
        <v>7</v>
      </c>
    </row>
    <row r="15" spans="1:6" ht="16.2">
      <c r="A15" s="2">
        <v>1987</v>
      </c>
      <c r="B15" s="3">
        <v>18.32</v>
      </c>
      <c r="C15" s="3">
        <v>0.05</v>
      </c>
      <c r="D15" s="3">
        <v>-31.93</v>
      </c>
      <c r="E15" s="3">
        <v>-5.25</v>
      </c>
      <c r="F15" s="2" t="s">
        <v>6</v>
      </c>
    </row>
    <row r="16" spans="1:6" ht="16.2">
      <c r="A16" s="2">
        <v>1988</v>
      </c>
      <c r="B16" s="3">
        <v>-6.91</v>
      </c>
      <c r="C16" s="3">
        <v>-6.07</v>
      </c>
      <c r="D16" s="3">
        <v>47.78</v>
      </c>
      <c r="E16" s="3">
        <v>15.4</v>
      </c>
      <c r="F16" s="2" t="s">
        <v>7</v>
      </c>
    </row>
    <row r="17" spans="1:6" ht="16.2">
      <c r="A17" s="2">
        <v>1989</v>
      </c>
      <c r="B17" s="3">
        <v>71.180000000000007</v>
      </c>
      <c r="C17" s="3">
        <v>64.16</v>
      </c>
      <c r="D17" s="3">
        <v>64.16</v>
      </c>
      <c r="E17" s="3">
        <v>19.239999999999998</v>
      </c>
      <c r="F17" s="2" t="s">
        <v>7</v>
      </c>
    </row>
    <row r="18" spans="1:6" ht="16.2">
      <c r="A18" s="2">
        <v>1990</v>
      </c>
      <c r="B18" s="3">
        <v>-44.38</v>
      </c>
      <c r="C18" s="3">
        <v>-44.38</v>
      </c>
      <c r="D18" s="3">
        <v>-49.08</v>
      </c>
      <c r="E18" s="3">
        <v>-17.809999999999999</v>
      </c>
      <c r="F18" s="2" t="s">
        <v>6</v>
      </c>
    </row>
    <row r="19" spans="1:6" ht="16.2">
      <c r="A19" s="2">
        <v>1991</v>
      </c>
      <c r="B19" s="3">
        <v>129.19</v>
      </c>
      <c r="C19" s="3">
        <v>134.55000000000001</v>
      </c>
      <c r="D19" s="3">
        <v>257.26</v>
      </c>
      <c r="E19" s="3">
        <v>56.86</v>
      </c>
      <c r="F19" s="2" t="s">
        <v>7</v>
      </c>
    </row>
    <row r="20" spans="1:6" ht="16.2">
      <c r="A20" s="2">
        <v>1992</v>
      </c>
      <c r="B20" s="3">
        <v>43.53</v>
      </c>
      <c r="C20" s="3">
        <v>44.87</v>
      </c>
      <c r="D20" s="3">
        <v>44.94</v>
      </c>
      <c r="E20" s="3">
        <v>15.45</v>
      </c>
      <c r="F20" s="2" t="s">
        <v>7</v>
      </c>
    </row>
    <row r="21" spans="1:6" ht="16.2">
      <c r="A21" s="2">
        <v>1993</v>
      </c>
      <c r="B21" s="3">
        <v>50.59</v>
      </c>
      <c r="C21" s="3">
        <v>43.79</v>
      </c>
      <c r="D21" s="3">
        <v>43.79</v>
      </c>
      <c r="E21" s="3">
        <v>14.75</v>
      </c>
      <c r="F21" s="2" t="s">
        <v>7</v>
      </c>
    </row>
    <row r="22" spans="1:6" ht="16.2">
      <c r="A22" s="2">
        <v>1994</v>
      </c>
      <c r="B22" s="3">
        <v>-13.53</v>
      </c>
      <c r="C22" s="3">
        <v>-13.75</v>
      </c>
      <c r="D22" s="3">
        <v>-13.68</v>
      </c>
      <c r="E22" s="3">
        <v>-3.2</v>
      </c>
      <c r="F22" s="2" t="s">
        <v>7</v>
      </c>
    </row>
    <row r="23" spans="1:6" ht="16.2">
      <c r="A23" s="2">
        <v>1995</v>
      </c>
      <c r="B23" s="3">
        <v>170.42</v>
      </c>
      <c r="C23" s="3">
        <v>154.99</v>
      </c>
      <c r="D23" s="3">
        <v>157.04</v>
      </c>
      <c r="E23" s="3">
        <v>39.92</v>
      </c>
      <c r="F23" s="2" t="s">
        <v>7</v>
      </c>
    </row>
    <row r="24" spans="1:6" ht="16.2">
      <c r="A24" s="2">
        <v>1996</v>
      </c>
      <c r="B24" s="3">
        <v>70.31</v>
      </c>
      <c r="C24" s="3">
        <v>72.569999999999993</v>
      </c>
      <c r="D24" s="3">
        <v>70.25</v>
      </c>
      <c r="E24" s="3">
        <v>22.71</v>
      </c>
      <c r="F24" s="2" t="s">
        <v>7</v>
      </c>
    </row>
    <row r="25" spans="1:6" ht="16.2">
      <c r="A25" s="2">
        <v>1997</v>
      </c>
      <c r="B25" s="3">
        <v>46.16</v>
      </c>
      <c r="C25" s="3">
        <v>50.64</v>
      </c>
      <c r="D25" s="3">
        <v>60.35</v>
      </c>
      <c r="E25" s="3">
        <v>21.64</v>
      </c>
      <c r="F25" s="2" t="s">
        <v>7</v>
      </c>
    </row>
    <row r="26" spans="1:6" ht="16.2">
      <c r="A26" s="2">
        <v>1998</v>
      </c>
      <c r="B26" s="3">
        <v>60.51</v>
      </c>
      <c r="C26" s="3">
        <v>59.68</v>
      </c>
      <c r="D26" s="3">
        <v>117.35</v>
      </c>
      <c r="E26" s="3">
        <v>39.630000000000003</v>
      </c>
      <c r="F26" s="2" t="s">
        <v>7</v>
      </c>
    </row>
    <row r="27" spans="1:6" ht="16.2">
      <c r="A27" s="2">
        <v>1999</v>
      </c>
      <c r="B27" s="3">
        <v>312.37</v>
      </c>
      <c r="C27" s="3">
        <v>334.2</v>
      </c>
      <c r="D27" s="3">
        <v>404.96</v>
      </c>
      <c r="E27" s="3">
        <v>85.59</v>
      </c>
      <c r="F27" s="2" t="s">
        <v>7</v>
      </c>
    </row>
    <row r="28" spans="1:6" ht="16.2">
      <c r="A28" s="2">
        <v>2000</v>
      </c>
      <c r="B28" s="3">
        <v>-5.35</v>
      </c>
      <c r="C28" s="3">
        <v>-5.85</v>
      </c>
      <c r="D28" s="3">
        <v>-89.23</v>
      </c>
      <c r="E28" s="3">
        <v>-39.29</v>
      </c>
      <c r="F28" s="2" t="s">
        <v>6</v>
      </c>
    </row>
    <row r="29" spans="1:6" ht="16.2">
      <c r="A29" s="2">
        <v>2001</v>
      </c>
      <c r="B29" s="3">
        <v>0</v>
      </c>
      <c r="C29" s="3">
        <v>0</v>
      </c>
      <c r="D29" s="3">
        <v>-71.88</v>
      </c>
      <c r="E29" s="3">
        <v>-21.05</v>
      </c>
      <c r="F29" s="2" t="s">
        <v>6</v>
      </c>
    </row>
    <row r="30" spans="1:6" ht="16.2">
      <c r="A30" s="2">
        <v>2002</v>
      </c>
      <c r="B30" s="3">
        <v>0</v>
      </c>
      <c r="C30" s="3">
        <v>0</v>
      </c>
      <c r="D30" s="3">
        <v>-77.64</v>
      </c>
      <c r="E30" s="3">
        <v>-31.53</v>
      </c>
      <c r="F30" s="2" t="s">
        <v>6</v>
      </c>
    </row>
    <row r="31" spans="1:6" ht="16.2">
      <c r="A31" s="2">
        <v>2003</v>
      </c>
      <c r="B31" s="3">
        <v>159.25</v>
      </c>
      <c r="C31" s="3">
        <v>163.91</v>
      </c>
      <c r="D31" s="3">
        <v>188.38</v>
      </c>
      <c r="E31" s="3">
        <v>50.01</v>
      </c>
      <c r="F31" s="2" t="s">
        <v>7</v>
      </c>
    </row>
    <row r="32" spans="1:6" ht="16.2">
      <c r="A32" s="2">
        <v>2004</v>
      </c>
      <c r="B32" s="3">
        <v>-18.36</v>
      </c>
      <c r="C32" s="3">
        <v>-18.36</v>
      </c>
      <c r="D32" s="3">
        <v>16.41</v>
      </c>
      <c r="E32" s="3">
        <v>8.59</v>
      </c>
      <c r="F32" s="2" t="s">
        <v>7</v>
      </c>
    </row>
    <row r="33" spans="1:6" ht="16.2">
      <c r="A33" s="2">
        <v>2005</v>
      </c>
      <c r="B33" s="3">
        <v>-0.98</v>
      </c>
      <c r="C33" s="3">
        <v>-1.48</v>
      </c>
      <c r="D33" s="3">
        <v>-1.48</v>
      </c>
      <c r="E33" s="3">
        <v>1.37</v>
      </c>
      <c r="F33" s="2" t="s">
        <v>7</v>
      </c>
    </row>
    <row r="34" spans="1:6" ht="16.2">
      <c r="A34" s="2">
        <v>2006</v>
      </c>
      <c r="B34" s="3">
        <v>24.15</v>
      </c>
      <c r="C34" s="3">
        <v>22.75</v>
      </c>
      <c r="D34" s="3">
        <v>22.64</v>
      </c>
      <c r="E34" s="3">
        <v>9.52</v>
      </c>
      <c r="F34" s="2" t="s">
        <v>7</v>
      </c>
    </row>
    <row r="35" spans="1:6" ht="16.2">
      <c r="A35" s="2">
        <v>2007</v>
      </c>
      <c r="B35" s="3">
        <v>19.03</v>
      </c>
      <c r="C35" s="3">
        <v>22.55</v>
      </c>
      <c r="D35" s="3">
        <v>19.809999999999999</v>
      </c>
      <c r="E35" s="3">
        <v>9.81</v>
      </c>
      <c r="F35" s="2" t="s">
        <v>7</v>
      </c>
    </row>
    <row r="36" spans="1:6" ht="16.2">
      <c r="A36" s="2">
        <v>2008</v>
      </c>
      <c r="B36" s="3">
        <v>-31.08</v>
      </c>
      <c r="C36" s="3">
        <v>-31.28</v>
      </c>
      <c r="D36" s="3">
        <v>-87.63</v>
      </c>
      <c r="E36" s="3">
        <v>-40.54</v>
      </c>
      <c r="F36" s="2" t="s">
        <v>6</v>
      </c>
    </row>
    <row r="37" spans="1:6" ht="16.2">
      <c r="A37" s="2">
        <v>2009</v>
      </c>
      <c r="B37" s="3">
        <v>61.9</v>
      </c>
      <c r="C37" s="3">
        <v>60.79</v>
      </c>
      <c r="D37" s="3">
        <v>132.37</v>
      </c>
      <c r="E37" s="3">
        <v>43.89</v>
      </c>
      <c r="F37" s="2" t="s">
        <v>7</v>
      </c>
    </row>
    <row r="38" spans="1:6" ht="16.2">
      <c r="A38" s="2">
        <v>2010</v>
      </c>
      <c r="B38" s="3">
        <v>47.38</v>
      </c>
      <c r="C38" s="3">
        <v>47.14</v>
      </c>
      <c r="D38" s="3">
        <v>40.83</v>
      </c>
      <c r="E38" s="3">
        <v>16.91</v>
      </c>
      <c r="F38" s="2" t="s">
        <v>7</v>
      </c>
    </row>
    <row r="39" spans="1:6" ht="16.2">
      <c r="A39" s="2">
        <v>2011</v>
      </c>
      <c r="B39" s="3">
        <v>-38.270000000000003</v>
      </c>
      <c r="C39" s="3">
        <v>-40.380000000000003</v>
      </c>
      <c r="D39" s="3">
        <v>-22.72</v>
      </c>
      <c r="E39" s="3">
        <v>-1.8</v>
      </c>
      <c r="F39" s="2" t="s">
        <v>7</v>
      </c>
    </row>
    <row r="40" spans="1:6" ht="16.2">
      <c r="A40" s="2">
        <v>2012</v>
      </c>
      <c r="B40" s="3">
        <v>44.79</v>
      </c>
      <c r="C40" s="3">
        <v>44.2</v>
      </c>
      <c r="D40" s="3">
        <v>44.36</v>
      </c>
      <c r="E40" s="3">
        <v>15.91</v>
      </c>
      <c r="F40" s="2" t="s">
        <v>7</v>
      </c>
    </row>
    <row r="41" spans="1:6" ht="16.2">
      <c r="A41" s="2">
        <v>2013</v>
      </c>
      <c r="B41" s="3">
        <v>132.44</v>
      </c>
      <c r="C41" s="3">
        <v>150.46</v>
      </c>
      <c r="D41" s="3">
        <v>150.46</v>
      </c>
      <c r="E41" s="3">
        <v>38.32</v>
      </c>
      <c r="F41" s="2" t="s">
        <v>7</v>
      </c>
    </row>
    <row r="42" spans="1:6" ht="16.2">
      <c r="A42" s="2">
        <v>2014</v>
      </c>
      <c r="B42" s="3">
        <v>30.91</v>
      </c>
      <c r="C42" s="3">
        <v>36.630000000000003</v>
      </c>
      <c r="D42" s="3">
        <v>36.020000000000003</v>
      </c>
      <c r="E42" s="3">
        <v>13.4</v>
      </c>
      <c r="F42" s="2" t="s">
        <v>7</v>
      </c>
    </row>
    <row r="43" spans="1:6" ht="16.2">
      <c r="A43" s="2">
        <v>2015</v>
      </c>
      <c r="B43" s="3">
        <v>6.6</v>
      </c>
      <c r="C43" s="3">
        <v>5.09</v>
      </c>
      <c r="D43" s="3">
        <v>7.53</v>
      </c>
      <c r="E43" s="3">
        <v>5.73</v>
      </c>
      <c r="F43" s="2" t="s">
        <v>7</v>
      </c>
    </row>
    <row r="44" spans="1:6" ht="16.2">
      <c r="A44" s="2">
        <v>2016</v>
      </c>
      <c r="B44" s="3">
        <v>-18.41</v>
      </c>
      <c r="C44" s="3">
        <v>-18.32</v>
      </c>
      <c r="D44" s="3">
        <v>14.03</v>
      </c>
      <c r="E44" s="3">
        <v>7.5</v>
      </c>
      <c r="F44" s="2" t="s">
        <v>7</v>
      </c>
    </row>
    <row r="45" spans="1:6" ht="16.2">
      <c r="A45" s="2">
        <v>2017</v>
      </c>
      <c r="B45" s="3">
        <v>100.34</v>
      </c>
      <c r="C45" s="3">
        <v>103.2</v>
      </c>
      <c r="D45" s="3">
        <v>103.2</v>
      </c>
      <c r="E45" s="3">
        <v>28.24</v>
      </c>
      <c r="F45" s="2" t="s">
        <v>7</v>
      </c>
    </row>
    <row r="46" spans="1:6" ht="16.2">
      <c r="A46" s="2">
        <v>2018</v>
      </c>
      <c r="B46" s="3">
        <v>-17.920000000000002</v>
      </c>
      <c r="C46" s="3">
        <v>-19.54</v>
      </c>
      <c r="D46" s="3">
        <v>-22.9</v>
      </c>
      <c r="E46" s="3">
        <v>-3.88</v>
      </c>
      <c r="F46" s="2" t="s">
        <v>6</v>
      </c>
    </row>
    <row r="47" spans="1:6" ht="16.2">
      <c r="A47" s="2">
        <v>2019</v>
      </c>
      <c r="B47" s="3">
        <v>54.72</v>
      </c>
      <c r="C47" s="3">
        <v>61.52</v>
      </c>
      <c r="D47" s="3">
        <v>127.4</v>
      </c>
      <c r="E47" s="3">
        <v>35.229999999999997</v>
      </c>
      <c r="F47" s="2" t="s">
        <v>7</v>
      </c>
    </row>
    <row r="48" spans="1:6" ht="16.2">
      <c r="A48" s="2">
        <v>2020</v>
      </c>
      <c r="B48" s="3">
        <v>87.17</v>
      </c>
      <c r="C48" s="3">
        <v>88.37</v>
      </c>
      <c r="D48" s="3">
        <v>95.93</v>
      </c>
      <c r="E48" s="3">
        <v>43.64</v>
      </c>
      <c r="F48" s="2" t="s">
        <v>7</v>
      </c>
    </row>
    <row r="49" spans="1:6" ht="16.2">
      <c r="A49" s="2">
        <v>2021</v>
      </c>
      <c r="B49" s="3">
        <v>11.97</v>
      </c>
      <c r="C49" s="3">
        <v>15.24</v>
      </c>
      <c r="D49" s="3">
        <v>15.31</v>
      </c>
      <c r="E49" s="3">
        <v>6.7</v>
      </c>
      <c r="F49" s="2" t="s">
        <v>7</v>
      </c>
    </row>
  </sheetData>
  <phoneticPr fontId="8"/>
  <conditionalFormatting sqref="B2:B49"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{00000000-000E-0000-0000-000003000000}</x14:id>
        </ext>
      </extLst>
    </cfRule>
  </conditionalFormatting>
  <conditionalFormatting sqref="B2:E4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{B93DC224-CA62-4E30-8526-2D5A88334326}</x14:id>
        </ext>
      </extLst>
    </cfRule>
    <cfRule type="cellIs" dxfId="1" priority="2" operator="greaterThan">
      <formula>0</formula>
    </cfRule>
    <cfRule type="cellIs" dxfId="0" priority="3" operator="lessThan">
      <formula>0</formula>
    </cfRule>
  </conditionalFormatting>
  <conditionalFormatting sqref="C2:C49">
    <cfRule type="dataBar" priority="7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{00000000-000E-0000-0000-000006000000}</x14:id>
        </ext>
      </extLst>
    </cfRule>
  </conditionalFormatting>
  <conditionalFormatting sqref="D2:D49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{00000000-000E-0000-0000-000009000000}</x14:id>
        </ext>
      </extLst>
    </cfRule>
  </conditionalFormatting>
  <conditionalFormatting sqref="E2:E49">
    <cfRule type="dataBar" priority="1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{00000000-000E-0000-0000-00000C000000}</x14:id>
        </ext>
      </extLst>
    </cfRule>
  </conditionalFormatting>
  <printOptions horizontalCentered="1"/>
  <pageMargins left="0.5" right="0.5" top="0.5" bottom="0.5" header="0.5" footer="0.5"/>
  <pageSetup scale="90"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000-000003000000}">
            <x14:dataBar minLength="0" maxLength="100" negativeBarColorSameAsPositive="1" axisPosition="none">
              <x14:cfvo type="min"/>
              <x14:cfvo type="max"/>
            </x14:dataBar>
          </x14:cfRule>
          <xm:sqref>B2:B49</xm:sqref>
        </x14:conditionalFormatting>
        <x14:conditionalFormatting xmlns:xm="http://schemas.microsoft.com/office/excel/2006/main">
          <x14:cfRule type="dataBar" id="{B93DC224-CA62-4E30-8526-2D5A88334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B2:E49</xm:sqref>
        </x14:conditionalFormatting>
        <x14:conditionalFormatting xmlns:xm="http://schemas.microsoft.com/office/excel/2006/main">
          <x14:cfRule type="dataBar" id="{00000000-000E-0000-0000-000006000000}">
            <x14:dataBar minLength="0" maxLength="100" negativeBarColorSameAsPositive="1" axisPosition="none">
              <x14:cfvo type="min"/>
              <x14:cfvo type="max"/>
            </x14:dataBar>
          </x14:cfRule>
          <xm:sqref>C2:C49</xm:sqref>
        </x14:conditionalFormatting>
        <x14:conditionalFormatting xmlns:xm="http://schemas.microsoft.com/office/excel/2006/main">
          <x14:cfRule type="dataBar" id="{00000000-000E-0000-0000-000009000000}">
            <x14:dataBar minLength="0" maxLength="100" negativeBarColorSameAsPositive="1" axisPosition="none">
              <x14:cfvo type="min"/>
              <x14:cfvo type="max"/>
            </x14:dataBar>
          </x14:cfRule>
          <xm:sqref>D2:D49</xm:sqref>
        </x14:conditionalFormatting>
        <x14:conditionalFormatting xmlns:xm="http://schemas.microsoft.com/office/excel/2006/main">
          <x14:cfRule type="dataBar" id="{00000000-000E-0000-0000-00000C000000}">
            <x14:dataBar minLength="0" maxLength="100" negativeBarColorSameAsPositive="1" axisPosition="none">
              <x14:cfvo type="min"/>
              <x14:cfvo type="max"/>
            </x14:dataBar>
          </x14:cfRule>
          <xm:sqref>E2:E49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8"/>
  <sheetViews>
    <sheetView topLeftCell="A42" workbookViewId="0">
      <selection activeCell="A42" sqref="A42:E48"/>
    </sheetView>
  </sheetViews>
  <sheetFormatPr defaultRowHeight="13.2"/>
  <cols>
    <col min="1" max="1" width="22" customWidth="1"/>
    <col min="2" max="2" width="55" customWidth="1"/>
  </cols>
  <sheetData>
    <row r="1" spans="1:2" ht="22.2">
      <c r="A1" s="16" t="s">
        <v>28</v>
      </c>
      <c r="B1" s="14"/>
    </row>
    <row r="3" spans="1:2" ht="18">
      <c r="A3" s="15" t="s">
        <v>29</v>
      </c>
      <c r="B3" s="14"/>
    </row>
    <row r="4" spans="1:2" ht="16.2">
      <c r="A4" s="6" t="s">
        <v>30</v>
      </c>
      <c r="B4" s="7" t="s">
        <v>31</v>
      </c>
    </row>
    <row r="5" spans="1:2" ht="16.2">
      <c r="A5" s="6" t="s">
        <v>32</v>
      </c>
      <c r="B5" s="7" t="s">
        <v>33</v>
      </c>
    </row>
    <row r="6" spans="1:2" ht="16.2">
      <c r="A6" s="6" t="s">
        <v>34</v>
      </c>
      <c r="B6" s="7" t="s">
        <v>35</v>
      </c>
    </row>
    <row r="7" spans="1:2" ht="16.2">
      <c r="A7" s="6" t="s">
        <v>36</v>
      </c>
      <c r="B7" s="7" t="s">
        <v>37</v>
      </c>
    </row>
    <row r="8" spans="1:2" ht="16.2">
      <c r="A8" s="6" t="s">
        <v>38</v>
      </c>
      <c r="B8" s="7" t="s">
        <v>39</v>
      </c>
    </row>
    <row r="9" spans="1:2" ht="16.2">
      <c r="A9" s="6" t="s">
        <v>40</v>
      </c>
      <c r="B9" s="7" t="s">
        <v>41</v>
      </c>
    </row>
    <row r="10" spans="1:2" ht="16.2">
      <c r="A10" s="6" t="s">
        <v>42</v>
      </c>
      <c r="B10" s="7" t="s">
        <v>43</v>
      </c>
    </row>
    <row r="11" spans="1:2" ht="16.2">
      <c r="A11" s="6" t="s">
        <v>44</v>
      </c>
      <c r="B11" s="7" t="s">
        <v>45</v>
      </c>
    </row>
    <row r="12" spans="1:2" ht="16.2">
      <c r="A12" s="6" t="s">
        <v>46</v>
      </c>
      <c r="B12" s="7" t="s">
        <v>47</v>
      </c>
    </row>
    <row r="13" spans="1:2" ht="16.2">
      <c r="A13" s="6" t="s">
        <v>48</v>
      </c>
      <c r="B13" s="7" t="s">
        <v>49</v>
      </c>
    </row>
    <row r="14" spans="1:2" ht="16.2">
      <c r="A14" s="6" t="s">
        <v>50</v>
      </c>
      <c r="B14" s="7" t="s">
        <v>51</v>
      </c>
    </row>
    <row r="16" spans="1:2" ht="18">
      <c r="A16" s="15" t="s">
        <v>52</v>
      </c>
      <c r="B16" s="14"/>
    </row>
    <row r="17" spans="1:2" ht="18">
      <c r="A17" s="13" t="s">
        <v>53</v>
      </c>
      <c r="B17" s="14"/>
    </row>
    <row r="18" spans="1:2" ht="16.2">
      <c r="A18" s="6" t="s">
        <v>54</v>
      </c>
      <c r="B18" s="7" t="s">
        <v>55</v>
      </c>
    </row>
    <row r="19" spans="1:2" ht="16.2">
      <c r="A19" s="6" t="s">
        <v>56</v>
      </c>
      <c r="B19" s="7" t="s">
        <v>57</v>
      </c>
    </row>
    <row r="20" spans="1:2" ht="16.2">
      <c r="A20" s="6" t="s">
        <v>58</v>
      </c>
      <c r="B20" s="7" t="s">
        <v>59</v>
      </c>
    </row>
    <row r="21" spans="1:2" ht="16.2">
      <c r="A21" s="6" t="s">
        <v>60</v>
      </c>
      <c r="B21" s="7" t="s">
        <v>61</v>
      </c>
    </row>
    <row r="23" spans="1:2" ht="18">
      <c r="A23" s="13" t="s">
        <v>62</v>
      </c>
      <c r="B23" s="14"/>
    </row>
    <row r="24" spans="1:2" ht="16.2">
      <c r="A24" s="6" t="s">
        <v>54</v>
      </c>
      <c r="B24" s="7" t="s">
        <v>63</v>
      </c>
    </row>
    <row r="25" spans="1:2" ht="16.2">
      <c r="A25" s="6" t="s">
        <v>64</v>
      </c>
      <c r="B25" s="7" t="s">
        <v>65</v>
      </c>
    </row>
    <row r="26" spans="1:2" ht="16.2">
      <c r="A26" s="6" t="s">
        <v>66</v>
      </c>
      <c r="B26" s="7" t="s">
        <v>67</v>
      </c>
    </row>
    <row r="27" spans="1:2" ht="16.2">
      <c r="A27" s="6" t="s">
        <v>68</v>
      </c>
      <c r="B27" s="7" t="s">
        <v>69</v>
      </c>
    </row>
    <row r="29" spans="1:2" ht="18">
      <c r="A29" s="13" t="s">
        <v>70</v>
      </c>
      <c r="B29" s="14"/>
    </row>
    <row r="30" spans="1:2" ht="16.2">
      <c r="A30" s="6" t="s">
        <v>54</v>
      </c>
      <c r="B30" s="7" t="s">
        <v>71</v>
      </c>
    </row>
    <row r="31" spans="1:2" ht="16.2">
      <c r="A31" s="6" t="s">
        <v>72</v>
      </c>
      <c r="B31" s="7" t="s">
        <v>73</v>
      </c>
    </row>
    <row r="32" spans="1:2" ht="16.2">
      <c r="A32" s="6" t="s">
        <v>74</v>
      </c>
      <c r="B32" s="7" t="s">
        <v>75</v>
      </c>
    </row>
    <row r="33" spans="1:2" ht="16.2">
      <c r="A33" s="6" t="s">
        <v>76</v>
      </c>
      <c r="B33" s="7" t="s">
        <v>77</v>
      </c>
    </row>
    <row r="35" spans="1:2" ht="18">
      <c r="A35" s="13" t="s">
        <v>78</v>
      </c>
      <c r="B35" s="14"/>
    </row>
    <row r="36" spans="1:2" ht="16.2">
      <c r="A36" s="6" t="s">
        <v>79</v>
      </c>
      <c r="B36" s="7" t="s">
        <v>80</v>
      </c>
    </row>
    <row r="37" spans="1:2" ht="16.2">
      <c r="A37" s="6" t="s">
        <v>81</v>
      </c>
      <c r="B37" s="7" t="s">
        <v>82</v>
      </c>
    </row>
    <row r="38" spans="1:2" ht="16.2">
      <c r="A38" s="6" t="s">
        <v>83</v>
      </c>
      <c r="B38" s="7" t="s">
        <v>84</v>
      </c>
    </row>
  </sheetData>
  <mergeCells count="7">
    <mergeCell ref="A35:B35"/>
    <mergeCell ref="A16:B16"/>
    <mergeCell ref="A29:B29"/>
    <mergeCell ref="A1:B1"/>
    <mergeCell ref="A23:B23"/>
    <mergeCell ref="A17:B17"/>
    <mergeCell ref="A3:B3"/>
  </mergeCells>
  <phoneticPr fontId="8"/>
  <printOptions horizontalCentered="1"/>
  <pageMargins left="0.5" right="0.5" top="0.5" bottom="0.5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2"/>
  <sheetViews>
    <sheetView workbookViewId="0">
      <selection sqref="A1:E1"/>
    </sheetView>
  </sheetViews>
  <sheetFormatPr defaultRowHeight="13.2"/>
  <cols>
    <col min="1" max="1" width="20" customWidth="1"/>
    <col min="2" max="5" width="18" customWidth="1"/>
  </cols>
  <sheetData>
    <row r="1" spans="1:5" ht="22.2">
      <c r="A1" s="16" t="s">
        <v>85</v>
      </c>
      <c r="B1" s="14"/>
      <c r="C1" s="14"/>
      <c r="D1" s="14"/>
      <c r="E1" s="14"/>
    </row>
    <row r="3" spans="1:5" ht="34.950000000000003" customHeight="1">
      <c r="A3" s="1" t="s">
        <v>86</v>
      </c>
      <c r="B3" s="12" t="s">
        <v>1</v>
      </c>
      <c r="C3" s="1" t="s">
        <v>2</v>
      </c>
      <c r="D3" s="1" t="s">
        <v>3</v>
      </c>
      <c r="E3" s="1" t="s">
        <v>4</v>
      </c>
    </row>
    <row r="4" spans="1:5" ht="16.2">
      <c r="A4" s="8" t="s">
        <v>87</v>
      </c>
      <c r="B4" s="9" t="s">
        <v>88</v>
      </c>
      <c r="C4" s="2" t="s">
        <v>89</v>
      </c>
      <c r="D4" s="2" t="s">
        <v>90</v>
      </c>
      <c r="E4" s="2" t="s">
        <v>91</v>
      </c>
    </row>
    <row r="5" spans="1:5" ht="16.2">
      <c r="A5" s="8" t="s">
        <v>92</v>
      </c>
      <c r="B5" s="9" t="s">
        <v>93</v>
      </c>
      <c r="C5" s="2" t="s">
        <v>94</v>
      </c>
      <c r="D5" s="2" t="s">
        <v>95</v>
      </c>
      <c r="E5" s="2" t="s">
        <v>96</v>
      </c>
    </row>
    <row r="6" spans="1:5" ht="16.2">
      <c r="A6" s="8" t="s">
        <v>97</v>
      </c>
      <c r="B6" s="9" t="s">
        <v>98</v>
      </c>
      <c r="C6" s="2" t="s">
        <v>99</v>
      </c>
      <c r="D6" s="2" t="s">
        <v>100</v>
      </c>
      <c r="E6" s="2" t="s">
        <v>101</v>
      </c>
    </row>
    <row r="7" spans="1:5" ht="16.2">
      <c r="A7" s="8" t="s">
        <v>102</v>
      </c>
      <c r="B7" s="9" t="s">
        <v>103</v>
      </c>
      <c r="C7" s="2" t="s">
        <v>103</v>
      </c>
      <c r="D7" s="2" t="s">
        <v>104</v>
      </c>
      <c r="E7" s="2" t="s">
        <v>105</v>
      </c>
    </row>
    <row r="8" spans="1:5" ht="16.2">
      <c r="A8" s="8" t="s">
        <v>106</v>
      </c>
      <c r="B8" s="9" t="s">
        <v>107</v>
      </c>
      <c r="C8" s="2" t="s">
        <v>108</v>
      </c>
      <c r="D8" s="2" t="s">
        <v>109</v>
      </c>
      <c r="E8" s="2" t="s">
        <v>110</v>
      </c>
    </row>
    <row r="9" spans="1:5" ht="16.2">
      <c r="A9" s="8" t="s">
        <v>111</v>
      </c>
      <c r="B9" s="9" t="s">
        <v>112</v>
      </c>
      <c r="C9" s="2" t="s">
        <v>113</v>
      </c>
      <c r="D9" s="2" t="s">
        <v>114</v>
      </c>
      <c r="E9" s="2" t="s">
        <v>115</v>
      </c>
    </row>
    <row r="10" spans="1:5" ht="16.2">
      <c r="A10" s="8" t="s">
        <v>116</v>
      </c>
      <c r="B10" s="9" t="s">
        <v>117</v>
      </c>
      <c r="C10" s="2" t="s">
        <v>118</v>
      </c>
      <c r="D10" s="2" t="s">
        <v>119</v>
      </c>
      <c r="E10" s="2" t="s">
        <v>120</v>
      </c>
    </row>
    <row r="11" spans="1:5" ht="16.2">
      <c r="A11" s="8" t="s">
        <v>121</v>
      </c>
      <c r="B11" s="9" t="s">
        <v>122</v>
      </c>
      <c r="C11" s="2" t="s">
        <v>123</v>
      </c>
      <c r="D11" s="2" t="s">
        <v>124</v>
      </c>
      <c r="E11" s="2" t="s">
        <v>125</v>
      </c>
    </row>
    <row r="14" spans="1:5" ht="18">
      <c r="A14" s="15" t="s">
        <v>126</v>
      </c>
      <c r="B14" s="14"/>
      <c r="C14" s="14"/>
      <c r="D14" s="14"/>
      <c r="E14" s="14"/>
    </row>
    <row r="15" spans="1:5" ht="16.2">
      <c r="A15" s="10" t="s">
        <v>0</v>
      </c>
      <c r="B15" s="10" t="s">
        <v>127</v>
      </c>
      <c r="C15" s="10" t="s">
        <v>128</v>
      </c>
      <c r="D15" s="10" t="s">
        <v>129</v>
      </c>
      <c r="E15" s="10" t="s">
        <v>130</v>
      </c>
    </row>
    <row r="16" spans="1:5" ht="16.2">
      <c r="A16" s="2">
        <v>1974</v>
      </c>
      <c r="B16" s="2" t="s">
        <v>131</v>
      </c>
      <c r="C16" s="2" t="s">
        <v>132</v>
      </c>
      <c r="D16" s="2" t="s">
        <v>133</v>
      </c>
      <c r="E16" s="11" t="s">
        <v>134</v>
      </c>
    </row>
    <row r="17" spans="1:5" ht="16.2">
      <c r="A17" s="2">
        <v>1987</v>
      </c>
      <c r="B17" s="2" t="s">
        <v>135</v>
      </c>
      <c r="C17" s="2" t="s">
        <v>136</v>
      </c>
      <c r="D17" s="2" t="s">
        <v>137</v>
      </c>
      <c r="E17" s="11" t="s">
        <v>138</v>
      </c>
    </row>
    <row r="18" spans="1:5" ht="16.2">
      <c r="A18" s="2">
        <v>2000</v>
      </c>
      <c r="B18" s="2" t="s">
        <v>139</v>
      </c>
      <c r="C18" s="2" t="s">
        <v>104</v>
      </c>
      <c r="D18" s="2" t="s">
        <v>140</v>
      </c>
      <c r="E18" s="11" t="s">
        <v>141</v>
      </c>
    </row>
    <row r="19" spans="1:5" ht="16.2">
      <c r="A19" s="2">
        <v>2001</v>
      </c>
      <c r="B19" s="2" t="s">
        <v>142</v>
      </c>
      <c r="C19" s="2" t="s">
        <v>143</v>
      </c>
      <c r="D19" s="2" t="s">
        <v>144</v>
      </c>
      <c r="E19" s="11" t="s">
        <v>145</v>
      </c>
    </row>
    <row r="20" spans="1:5" ht="16.2">
      <c r="A20" s="2">
        <v>2002</v>
      </c>
      <c r="B20" s="2" t="s">
        <v>142</v>
      </c>
      <c r="C20" s="2" t="s">
        <v>146</v>
      </c>
      <c r="D20" s="2" t="s">
        <v>147</v>
      </c>
      <c r="E20" s="11" t="s">
        <v>148</v>
      </c>
    </row>
    <row r="21" spans="1:5" ht="16.2">
      <c r="A21" s="2">
        <v>2008</v>
      </c>
      <c r="B21" s="2" t="s">
        <v>149</v>
      </c>
      <c r="C21" s="2" t="s">
        <v>150</v>
      </c>
      <c r="D21" s="2" t="s">
        <v>105</v>
      </c>
      <c r="E21" s="11" t="s">
        <v>151</v>
      </c>
    </row>
    <row r="26" spans="1:5" ht="22.2">
      <c r="A26" s="16" t="s">
        <v>8</v>
      </c>
      <c r="B26" s="14"/>
      <c r="C26" s="14"/>
      <c r="D26" s="14"/>
      <c r="E26" s="14"/>
    </row>
    <row r="28" spans="1:5" ht="48.6">
      <c r="A28" s="1" t="s">
        <v>9</v>
      </c>
      <c r="B28" s="1" t="s">
        <v>10</v>
      </c>
      <c r="C28" s="1" t="s">
        <v>11</v>
      </c>
      <c r="D28" s="1" t="s">
        <v>12</v>
      </c>
      <c r="E28" s="1" t="s">
        <v>13</v>
      </c>
    </row>
    <row r="29" spans="1:5" ht="64.8">
      <c r="A29" s="4" t="s">
        <v>14</v>
      </c>
      <c r="B29" s="5" t="s">
        <v>15</v>
      </c>
      <c r="C29" s="5" t="s">
        <v>16</v>
      </c>
      <c r="D29" s="5" t="s">
        <v>17</v>
      </c>
      <c r="E29" s="5" t="s">
        <v>18</v>
      </c>
    </row>
    <row r="30" spans="1:5" ht="48.6">
      <c r="A30" s="4" t="s">
        <v>19</v>
      </c>
      <c r="B30" s="5" t="s">
        <v>15</v>
      </c>
      <c r="C30" s="5" t="s">
        <v>16</v>
      </c>
      <c r="D30" s="5" t="s">
        <v>20</v>
      </c>
      <c r="E30" s="5" t="s">
        <v>18</v>
      </c>
    </row>
    <row r="31" spans="1:5" ht="32.4">
      <c r="A31" s="4" t="s">
        <v>21</v>
      </c>
      <c r="B31" s="5" t="s">
        <v>22</v>
      </c>
      <c r="C31" s="5" t="s">
        <v>23</v>
      </c>
      <c r="D31" s="5" t="s">
        <v>20</v>
      </c>
      <c r="E31" s="5" t="s">
        <v>24</v>
      </c>
    </row>
    <row r="32" spans="1:5" ht="32.4">
      <c r="A32" s="4" t="s">
        <v>25</v>
      </c>
      <c r="B32" s="5" t="s">
        <v>26</v>
      </c>
      <c r="C32" s="5" t="s">
        <v>26</v>
      </c>
      <c r="D32" s="5" t="s">
        <v>27</v>
      </c>
      <c r="E32" s="5" t="s">
        <v>24</v>
      </c>
    </row>
  </sheetData>
  <mergeCells count="3">
    <mergeCell ref="A1:E1"/>
    <mergeCell ref="A14:E14"/>
    <mergeCell ref="A26:E26"/>
  </mergeCells>
  <phoneticPr fontId="8"/>
  <printOptions horizontalCentered="1"/>
  <pageMargins left="0.5" right="0.5" top="0.5" bottom="0.5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年次リターン</vt:lpstr>
      <vt:lpstr>計算前提・ロジック詳細</vt:lpstr>
      <vt:lpstr>サマリー統計・戦略定義</vt:lpstr>
      <vt:lpstr>年次リターン!Print_Titles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2026-02-05T11:22:27Z</cp:lastPrinted>
  <dcterms:created xsi:type="dcterms:W3CDTF">2026-02-05T11:15:58Z</dcterms:created>
  <dcterms:modified xsi:type="dcterms:W3CDTF">2026-02-06T11:22:20Z</dcterms:modified>
</cp:coreProperties>
</file>