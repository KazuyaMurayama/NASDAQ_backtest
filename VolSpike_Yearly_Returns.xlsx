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Returns" sheetId="1" state="visible" r:id="rId1"/>
    <sheet xmlns:r="http://schemas.openxmlformats.org/officeDocument/2006/relationships" name="Strategy_Parameters" sheetId="2" state="visible" r:id="rId2"/>
    <sheet xmlns:r="http://schemas.openxmlformats.org/officeDocument/2006/relationships" name="Calculation_Assumptions" sheetId="3" state="visible" r:id="rId3"/>
    <sheet xmlns:r="http://schemas.openxmlformats.org/officeDocument/2006/relationships" name="Strategy_Logic_Detail" sheetId="4" state="visible" r:id="rId4"/>
    <sheet xmlns:r="http://schemas.openxmlformats.org/officeDocument/2006/relationships" name="Summary_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color rgb="004472C4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1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Year</t>
        </is>
      </c>
      <c r="B1" s="1" t="inlineStr">
        <is>
          <t>DD+VT+VolSpike(1.5x)</t>
        </is>
      </c>
      <c r="C1" s="1" t="inlineStr">
        <is>
          <t>DD(-18/92)+VT(25%)</t>
        </is>
      </c>
      <c r="D1" s="1" t="inlineStr">
        <is>
          <t>Buy&amp;Hold 3x</t>
        </is>
      </c>
      <c r="E1" s="1" t="inlineStr">
        <is>
          <t>NASDAQ 1x</t>
        </is>
      </c>
      <c r="F1" s="1" t="inlineStr">
        <is>
          <t>Year-End State</t>
        </is>
      </c>
    </row>
    <row r="2">
      <c r="A2" s="2" t="n">
        <v>1974</v>
      </c>
      <c r="B2" s="3" t="n">
        <v>-36.89</v>
      </c>
      <c r="C2" s="3" t="n">
        <v>-39.17</v>
      </c>
      <c r="D2" s="3" t="n">
        <v>-75.76000000000001</v>
      </c>
      <c r="E2" s="3" t="n">
        <v>-35.35</v>
      </c>
      <c r="F2" s="2" t="inlineStr">
        <is>
          <t>CASH</t>
        </is>
      </c>
    </row>
    <row r="3">
      <c r="A3" s="2" t="n">
        <v>1975</v>
      </c>
      <c r="B3" s="3" t="n">
        <v>8.220000000000001</v>
      </c>
      <c r="C3" s="3" t="n">
        <v>4.62</v>
      </c>
      <c r="D3" s="3" t="n">
        <v>105.45</v>
      </c>
      <c r="E3" s="3" t="n">
        <v>29.76</v>
      </c>
      <c r="F3" s="2" t="inlineStr">
        <is>
          <t>HOLD</t>
        </is>
      </c>
    </row>
    <row r="4">
      <c r="A4" s="2" t="n">
        <v>1976</v>
      </c>
      <c r="B4" s="3" t="n">
        <v>93.40000000000001</v>
      </c>
      <c r="C4" s="3" t="n">
        <v>94.42</v>
      </c>
      <c r="D4" s="3" t="n">
        <v>94.42</v>
      </c>
      <c r="E4" s="3" t="n">
        <v>26.1</v>
      </c>
      <c r="F4" s="2" t="inlineStr">
        <is>
          <t>HOLD</t>
        </is>
      </c>
    </row>
    <row r="5">
      <c r="A5" s="2" t="n">
        <v>1977</v>
      </c>
      <c r="B5" s="3" t="n">
        <v>25.5</v>
      </c>
      <c r="C5" s="3" t="n">
        <v>20.91</v>
      </c>
      <c r="D5" s="3" t="n">
        <v>20.91</v>
      </c>
      <c r="E5" s="3" t="n">
        <v>7.33</v>
      </c>
      <c r="F5" s="2" t="inlineStr">
        <is>
          <t>HOLD</t>
        </is>
      </c>
    </row>
    <row r="6">
      <c r="A6" s="2" t="n">
        <v>1978</v>
      </c>
      <c r="B6" s="3" t="n">
        <v>25.96</v>
      </c>
      <c r="C6" s="3" t="n">
        <v>18.24</v>
      </c>
      <c r="D6" s="3" t="n">
        <v>34.8</v>
      </c>
      <c r="E6" s="3" t="n">
        <v>12.31</v>
      </c>
      <c r="F6" s="2" t="inlineStr">
        <is>
          <t>CASH</t>
        </is>
      </c>
    </row>
    <row r="7">
      <c r="A7" s="2" t="n">
        <v>1979</v>
      </c>
      <c r="B7" s="3" t="n">
        <v>74.95</v>
      </c>
      <c r="C7" s="3" t="n">
        <v>58.08</v>
      </c>
      <c r="D7" s="3" t="n">
        <v>101.06</v>
      </c>
      <c r="E7" s="3" t="n">
        <v>28.11</v>
      </c>
      <c r="F7" s="2" t="inlineStr">
        <is>
          <t>HOLD</t>
        </is>
      </c>
    </row>
    <row r="8">
      <c r="A8" s="2" t="n">
        <v>1980</v>
      </c>
      <c r="B8" s="3" t="n">
        <v>68.06</v>
      </c>
      <c r="C8" s="3" t="n">
        <v>56.98</v>
      </c>
      <c r="D8" s="3" t="n">
        <v>119.66</v>
      </c>
      <c r="E8" s="3" t="n">
        <v>33.88</v>
      </c>
      <c r="F8" s="2" t="inlineStr">
        <is>
          <t>HOLD</t>
        </is>
      </c>
    </row>
    <row r="9">
      <c r="A9" s="2" t="n">
        <v>1981</v>
      </c>
      <c r="B9" s="3" t="n">
        <v>-27.24</v>
      </c>
      <c r="C9" s="3" t="n">
        <v>-32.35</v>
      </c>
      <c r="D9" s="3" t="n">
        <v>-14.08</v>
      </c>
      <c r="E9" s="3" t="n">
        <v>-3.21</v>
      </c>
      <c r="F9" s="2" t="inlineStr">
        <is>
          <t>CASH</t>
        </is>
      </c>
    </row>
    <row r="10">
      <c r="A10" s="2" t="n">
        <v>1982</v>
      </c>
      <c r="B10" s="3" t="n">
        <v>85.53</v>
      </c>
      <c r="C10" s="3" t="n">
        <v>89.29000000000001</v>
      </c>
      <c r="D10" s="3" t="n">
        <v>57.38</v>
      </c>
      <c r="E10" s="3" t="n">
        <v>18.67</v>
      </c>
      <c r="F10" s="2" t="inlineStr">
        <is>
          <t>HOLD</t>
        </is>
      </c>
    </row>
    <row r="11">
      <c r="A11" s="2" t="n">
        <v>1983</v>
      </c>
      <c r="B11" s="3" t="n">
        <v>55.62</v>
      </c>
      <c r="C11" s="3" t="n">
        <v>48.73</v>
      </c>
      <c r="D11" s="3" t="n">
        <v>63.57</v>
      </c>
      <c r="E11" s="3" t="n">
        <v>19.87</v>
      </c>
      <c r="F11" s="2" t="inlineStr">
        <is>
          <t>CASH</t>
        </is>
      </c>
    </row>
    <row r="12">
      <c r="A12" s="2" t="n">
        <v>1984</v>
      </c>
      <c r="B12" s="3" t="n">
        <v>4.64</v>
      </c>
      <c r="C12" s="3" t="n">
        <v>-2.06</v>
      </c>
      <c r="D12" s="3" t="n">
        <v>-34.34</v>
      </c>
      <c r="E12" s="3" t="n">
        <v>-11.31</v>
      </c>
      <c r="F12" s="2" t="inlineStr">
        <is>
          <t>HOLD</t>
        </is>
      </c>
    </row>
    <row r="13">
      <c r="A13" s="2" t="n">
        <v>1985</v>
      </c>
      <c r="B13" s="3" t="n">
        <v>122.52</v>
      </c>
      <c r="C13" s="3" t="n">
        <v>120.93</v>
      </c>
      <c r="D13" s="3" t="n">
        <v>120.93</v>
      </c>
      <c r="E13" s="3" t="n">
        <v>31.49</v>
      </c>
      <c r="F13" s="2" t="inlineStr">
        <is>
          <t>HOLD</t>
        </is>
      </c>
    </row>
    <row r="14">
      <c r="A14" s="2" t="n">
        <v>1986</v>
      </c>
      <c r="B14" s="3" t="n">
        <v>28.31</v>
      </c>
      <c r="C14" s="3" t="n">
        <v>18.76</v>
      </c>
      <c r="D14" s="3" t="n">
        <v>18.76</v>
      </c>
      <c r="E14" s="3" t="n">
        <v>7.36</v>
      </c>
      <c r="F14" s="2" t="inlineStr">
        <is>
          <t>HOLD</t>
        </is>
      </c>
    </row>
    <row r="15">
      <c r="A15" s="2" t="n">
        <v>1987</v>
      </c>
      <c r="B15" s="3" t="n">
        <v>18.32</v>
      </c>
      <c r="C15" s="3" t="n">
        <v>0.05</v>
      </c>
      <c r="D15" s="3" t="n">
        <v>-31.93</v>
      </c>
      <c r="E15" s="3" t="n">
        <v>-5.25</v>
      </c>
      <c r="F15" s="2" t="inlineStr">
        <is>
          <t>CASH</t>
        </is>
      </c>
    </row>
    <row r="16">
      <c r="A16" s="2" t="n">
        <v>1988</v>
      </c>
      <c r="B16" s="3" t="n">
        <v>-6.91</v>
      </c>
      <c r="C16" s="3" t="n">
        <v>-6.07</v>
      </c>
      <c r="D16" s="3" t="n">
        <v>47.78</v>
      </c>
      <c r="E16" s="3" t="n">
        <v>15.4</v>
      </c>
      <c r="F16" s="2" t="inlineStr">
        <is>
          <t>HOLD</t>
        </is>
      </c>
    </row>
    <row r="17">
      <c r="A17" s="2" t="n">
        <v>1989</v>
      </c>
      <c r="B17" s="3" t="n">
        <v>71.18000000000001</v>
      </c>
      <c r="C17" s="3" t="n">
        <v>64.16</v>
      </c>
      <c r="D17" s="3" t="n">
        <v>64.16</v>
      </c>
      <c r="E17" s="3" t="n">
        <v>19.24</v>
      </c>
      <c r="F17" s="2" t="inlineStr">
        <is>
          <t>HOLD</t>
        </is>
      </c>
    </row>
    <row r="18">
      <c r="A18" s="2" t="n">
        <v>1990</v>
      </c>
      <c r="B18" s="3" t="n">
        <v>-44.38</v>
      </c>
      <c r="C18" s="3" t="n">
        <v>-44.38</v>
      </c>
      <c r="D18" s="3" t="n">
        <v>-49.08</v>
      </c>
      <c r="E18" s="3" t="n">
        <v>-17.81</v>
      </c>
      <c r="F18" s="2" t="inlineStr">
        <is>
          <t>CASH</t>
        </is>
      </c>
    </row>
    <row r="19">
      <c r="A19" s="2" t="n">
        <v>1991</v>
      </c>
      <c r="B19" s="3" t="n">
        <v>129.19</v>
      </c>
      <c r="C19" s="3" t="n">
        <v>134.55</v>
      </c>
      <c r="D19" s="3" t="n">
        <v>257.26</v>
      </c>
      <c r="E19" s="3" t="n">
        <v>56.86</v>
      </c>
      <c r="F19" s="2" t="inlineStr">
        <is>
          <t>HOLD</t>
        </is>
      </c>
    </row>
    <row r="20">
      <c r="A20" s="2" t="n">
        <v>1992</v>
      </c>
      <c r="B20" s="3" t="n">
        <v>43.53</v>
      </c>
      <c r="C20" s="3" t="n">
        <v>44.87</v>
      </c>
      <c r="D20" s="3" t="n">
        <v>44.94</v>
      </c>
      <c r="E20" s="3" t="n">
        <v>15.45</v>
      </c>
      <c r="F20" s="2" t="inlineStr">
        <is>
          <t>HOLD</t>
        </is>
      </c>
    </row>
    <row r="21">
      <c r="A21" s="2" t="n">
        <v>1993</v>
      </c>
      <c r="B21" s="3" t="n">
        <v>50.59</v>
      </c>
      <c r="C21" s="3" t="n">
        <v>43.79</v>
      </c>
      <c r="D21" s="3" t="n">
        <v>43.79</v>
      </c>
      <c r="E21" s="3" t="n">
        <v>14.75</v>
      </c>
      <c r="F21" s="2" t="inlineStr">
        <is>
          <t>HOLD</t>
        </is>
      </c>
    </row>
    <row r="22">
      <c r="A22" s="2" t="n">
        <v>1994</v>
      </c>
      <c r="B22" s="3" t="n">
        <v>-13.53</v>
      </c>
      <c r="C22" s="3" t="n">
        <v>-13.75</v>
      </c>
      <c r="D22" s="3" t="n">
        <v>-13.68</v>
      </c>
      <c r="E22" s="3" t="n">
        <v>-3.2</v>
      </c>
      <c r="F22" s="2" t="inlineStr">
        <is>
          <t>HOLD</t>
        </is>
      </c>
    </row>
    <row r="23">
      <c r="A23" s="2" t="n">
        <v>1995</v>
      </c>
      <c r="B23" s="3" t="n">
        <v>170.42</v>
      </c>
      <c r="C23" s="3" t="n">
        <v>154.99</v>
      </c>
      <c r="D23" s="3" t="n">
        <v>157.04</v>
      </c>
      <c r="E23" s="3" t="n">
        <v>39.92</v>
      </c>
      <c r="F23" s="2" t="inlineStr">
        <is>
          <t>HOLD</t>
        </is>
      </c>
    </row>
    <row r="24">
      <c r="A24" s="2" t="n">
        <v>1996</v>
      </c>
      <c r="B24" s="3" t="n">
        <v>70.31</v>
      </c>
      <c r="C24" s="3" t="n">
        <v>72.56999999999999</v>
      </c>
      <c r="D24" s="3" t="n">
        <v>70.25</v>
      </c>
      <c r="E24" s="3" t="n">
        <v>22.71</v>
      </c>
      <c r="F24" s="2" t="inlineStr">
        <is>
          <t>HOLD</t>
        </is>
      </c>
    </row>
    <row r="25">
      <c r="A25" s="2" t="n">
        <v>1997</v>
      </c>
      <c r="B25" s="3" t="n">
        <v>46.16</v>
      </c>
      <c r="C25" s="3" t="n">
        <v>50.64</v>
      </c>
      <c r="D25" s="3" t="n">
        <v>60.35</v>
      </c>
      <c r="E25" s="3" t="n">
        <v>21.64</v>
      </c>
      <c r="F25" s="2" t="inlineStr">
        <is>
          <t>HOLD</t>
        </is>
      </c>
    </row>
    <row r="26">
      <c r="A26" s="2" t="n">
        <v>1998</v>
      </c>
      <c r="B26" s="3" t="n">
        <v>60.51</v>
      </c>
      <c r="C26" s="3" t="n">
        <v>59.68</v>
      </c>
      <c r="D26" s="3" t="n">
        <v>117.35</v>
      </c>
      <c r="E26" s="3" t="n">
        <v>39.63</v>
      </c>
      <c r="F26" s="2" t="inlineStr">
        <is>
          <t>HOLD</t>
        </is>
      </c>
    </row>
    <row r="27">
      <c r="A27" s="2" t="n">
        <v>1999</v>
      </c>
      <c r="B27" s="3" t="n">
        <v>312.37</v>
      </c>
      <c r="C27" s="3" t="n">
        <v>334.2</v>
      </c>
      <c r="D27" s="3" t="n">
        <v>404.96</v>
      </c>
      <c r="E27" s="3" t="n">
        <v>85.59</v>
      </c>
      <c r="F27" s="2" t="inlineStr">
        <is>
          <t>HOLD</t>
        </is>
      </c>
    </row>
    <row r="28">
      <c r="A28" s="2" t="n">
        <v>2000</v>
      </c>
      <c r="B28" s="3" t="n">
        <v>-5.35</v>
      </c>
      <c r="C28" s="3" t="n">
        <v>-5.85</v>
      </c>
      <c r="D28" s="3" t="n">
        <v>-89.23</v>
      </c>
      <c r="E28" s="3" t="n">
        <v>-39.29</v>
      </c>
      <c r="F28" s="2" t="inlineStr">
        <is>
          <t>CASH</t>
        </is>
      </c>
    </row>
    <row r="29">
      <c r="A29" s="2" t="n">
        <v>2001</v>
      </c>
      <c r="B29" s="3" t="n">
        <v>0</v>
      </c>
      <c r="C29" s="3" t="n">
        <v>0</v>
      </c>
      <c r="D29" s="3" t="n">
        <v>-71.88</v>
      </c>
      <c r="E29" s="3" t="n">
        <v>-21.05</v>
      </c>
      <c r="F29" s="2" t="inlineStr">
        <is>
          <t>CASH</t>
        </is>
      </c>
    </row>
    <row r="30">
      <c r="A30" s="2" t="n">
        <v>2002</v>
      </c>
      <c r="B30" s="3" t="n">
        <v>0</v>
      </c>
      <c r="C30" s="3" t="n">
        <v>0</v>
      </c>
      <c r="D30" s="3" t="n">
        <v>-77.64</v>
      </c>
      <c r="E30" s="3" t="n">
        <v>-31.53</v>
      </c>
      <c r="F30" s="2" t="inlineStr">
        <is>
          <t>CASH</t>
        </is>
      </c>
    </row>
    <row r="31">
      <c r="A31" s="2" t="n">
        <v>2003</v>
      </c>
      <c r="B31" s="3" t="n">
        <v>159.25</v>
      </c>
      <c r="C31" s="3" t="n">
        <v>163.91</v>
      </c>
      <c r="D31" s="3" t="n">
        <v>188.38</v>
      </c>
      <c r="E31" s="3" t="n">
        <v>50.01</v>
      </c>
      <c r="F31" s="2" t="inlineStr">
        <is>
          <t>HOLD</t>
        </is>
      </c>
    </row>
    <row r="32">
      <c r="A32" s="2" t="n">
        <v>2004</v>
      </c>
      <c r="B32" s="3" t="n">
        <v>-18.36</v>
      </c>
      <c r="C32" s="3" t="n">
        <v>-18.36</v>
      </c>
      <c r="D32" s="3" t="n">
        <v>16.41</v>
      </c>
      <c r="E32" s="3" t="n">
        <v>8.59</v>
      </c>
      <c r="F32" s="2" t="inlineStr">
        <is>
          <t>HOLD</t>
        </is>
      </c>
    </row>
    <row r="33">
      <c r="A33" s="2" t="n">
        <v>2005</v>
      </c>
      <c r="B33" s="3" t="n">
        <v>-0.98</v>
      </c>
      <c r="C33" s="3" t="n">
        <v>-1.48</v>
      </c>
      <c r="D33" s="3" t="n">
        <v>-1.48</v>
      </c>
      <c r="E33" s="3" t="n">
        <v>1.37</v>
      </c>
      <c r="F33" s="2" t="inlineStr">
        <is>
          <t>HOLD</t>
        </is>
      </c>
    </row>
    <row r="34">
      <c r="A34" s="2" t="n">
        <v>2006</v>
      </c>
      <c r="B34" s="3" t="n">
        <v>24.15</v>
      </c>
      <c r="C34" s="3" t="n">
        <v>22.75</v>
      </c>
      <c r="D34" s="3" t="n">
        <v>22.64</v>
      </c>
      <c r="E34" s="3" t="n">
        <v>9.52</v>
      </c>
      <c r="F34" s="2" t="inlineStr">
        <is>
          <t>HOLD</t>
        </is>
      </c>
    </row>
    <row r="35">
      <c r="A35" s="2" t="n">
        <v>2007</v>
      </c>
      <c r="B35" s="3" t="n">
        <v>19.03</v>
      </c>
      <c r="C35" s="3" t="n">
        <v>22.55</v>
      </c>
      <c r="D35" s="3" t="n">
        <v>19.81</v>
      </c>
      <c r="E35" s="3" t="n">
        <v>9.81</v>
      </c>
      <c r="F35" s="2" t="inlineStr">
        <is>
          <t>HOLD</t>
        </is>
      </c>
    </row>
    <row r="36">
      <c r="A36" s="2" t="n">
        <v>2008</v>
      </c>
      <c r="B36" s="3" t="n">
        <v>-31.08</v>
      </c>
      <c r="C36" s="3" t="n">
        <v>-31.28</v>
      </c>
      <c r="D36" s="3" t="n">
        <v>-87.63</v>
      </c>
      <c r="E36" s="3" t="n">
        <v>-40.54</v>
      </c>
      <c r="F36" s="2" t="inlineStr">
        <is>
          <t>CASH</t>
        </is>
      </c>
    </row>
    <row r="37">
      <c r="A37" s="2" t="n">
        <v>2009</v>
      </c>
      <c r="B37" s="3" t="n">
        <v>61.9</v>
      </c>
      <c r="C37" s="3" t="n">
        <v>60.79</v>
      </c>
      <c r="D37" s="3" t="n">
        <v>132.37</v>
      </c>
      <c r="E37" s="3" t="n">
        <v>43.89</v>
      </c>
      <c r="F37" s="2" t="inlineStr">
        <is>
          <t>HOLD</t>
        </is>
      </c>
    </row>
    <row r="38">
      <c r="A38" s="2" t="n">
        <v>2010</v>
      </c>
      <c r="B38" s="3" t="n">
        <v>47.38</v>
      </c>
      <c r="C38" s="3" t="n">
        <v>47.14</v>
      </c>
      <c r="D38" s="3" t="n">
        <v>40.83</v>
      </c>
      <c r="E38" s="3" t="n">
        <v>16.91</v>
      </c>
      <c r="F38" s="2" t="inlineStr">
        <is>
          <t>HOLD</t>
        </is>
      </c>
    </row>
    <row r="39">
      <c r="A39" s="2" t="n">
        <v>2011</v>
      </c>
      <c r="B39" s="3" t="n">
        <v>-38.27</v>
      </c>
      <c r="C39" s="3" t="n">
        <v>-40.38</v>
      </c>
      <c r="D39" s="3" t="n">
        <v>-22.72</v>
      </c>
      <c r="E39" s="3" t="n">
        <v>-1.8</v>
      </c>
      <c r="F39" s="2" t="inlineStr">
        <is>
          <t>HOLD</t>
        </is>
      </c>
    </row>
    <row r="40">
      <c r="A40" s="2" t="n">
        <v>2012</v>
      </c>
      <c r="B40" s="3" t="n">
        <v>44.79</v>
      </c>
      <c r="C40" s="3" t="n">
        <v>44.2</v>
      </c>
      <c r="D40" s="3" t="n">
        <v>44.36</v>
      </c>
      <c r="E40" s="3" t="n">
        <v>15.91</v>
      </c>
      <c r="F40" s="2" t="inlineStr">
        <is>
          <t>HOLD</t>
        </is>
      </c>
    </row>
    <row r="41">
      <c r="A41" s="2" t="n">
        <v>2013</v>
      </c>
      <c r="B41" s="3" t="n">
        <v>132.44</v>
      </c>
      <c r="C41" s="3" t="n">
        <v>150.46</v>
      </c>
      <c r="D41" s="3" t="n">
        <v>150.46</v>
      </c>
      <c r="E41" s="3" t="n">
        <v>38.32</v>
      </c>
      <c r="F41" s="2" t="inlineStr">
        <is>
          <t>HOLD</t>
        </is>
      </c>
    </row>
    <row r="42">
      <c r="A42" s="2" t="n">
        <v>2014</v>
      </c>
      <c r="B42" s="3" t="n">
        <v>30.91</v>
      </c>
      <c r="C42" s="3" t="n">
        <v>36.63</v>
      </c>
      <c r="D42" s="3" t="n">
        <v>36.02</v>
      </c>
      <c r="E42" s="3" t="n">
        <v>13.4</v>
      </c>
      <c r="F42" s="2" t="inlineStr">
        <is>
          <t>HOLD</t>
        </is>
      </c>
    </row>
    <row r="43">
      <c r="A43" s="2" t="n">
        <v>2015</v>
      </c>
      <c r="B43" s="3" t="n">
        <v>6.6</v>
      </c>
      <c r="C43" s="3" t="n">
        <v>5.09</v>
      </c>
      <c r="D43" s="3" t="n">
        <v>7.53</v>
      </c>
      <c r="E43" s="3" t="n">
        <v>5.73</v>
      </c>
      <c r="F43" s="2" t="inlineStr">
        <is>
          <t>HOLD</t>
        </is>
      </c>
    </row>
    <row r="44">
      <c r="A44" s="2" t="n">
        <v>2016</v>
      </c>
      <c r="B44" s="3" t="n">
        <v>-18.41</v>
      </c>
      <c r="C44" s="3" t="n">
        <v>-18.32</v>
      </c>
      <c r="D44" s="3" t="n">
        <v>14.03</v>
      </c>
      <c r="E44" s="3" t="n">
        <v>7.5</v>
      </c>
      <c r="F44" s="2" t="inlineStr">
        <is>
          <t>HOLD</t>
        </is>
      </c>
    </row>
    <row r="45">
      <c r="A45" s="2" t="n">
        <v>2017</v>
      </c>
      <c r="B45" s="3" t="n">
        <v>100.34</v>
      </c>
      <c r="C45" s="3" t="n">
        <v>103.2</v>
      </c>
      <c r="D45" s="3" t="n">
        <v>103.2</v>
      </c>
      <c r="E45" s="3" t="n">
        <v>28.24</v>
      </c>
      <c r="F45" s="2" t="inlineStr">
        <is>
          <t>HOLD</t>
        </is>
      </c>
    </row>
    <row r="46">
      <c r="A46" s="2" t="n">
        <v>2018</v>
      </c>
      <c r="B46" s="3" t="n">
        <v>-17.92</v>
      </c>
      <c r="C46" s="3" t="n">
        <v>-19.54</v>
      </c>
      <c r="D46" s="3" t="n">
        <v>-22.9</v>
      </c>
      <c r="E46" s="3" t="n">
        <v>-3.88</v>
      </c>
      <c r="F46" s="2" t="inlineStr">
        <is>
          <t>CASH</t>
        </is>
      </c>
    </row>
    <row r="47">
      <c r="A47" s="2" t="n">
        <v>2019</v>
      </c>
      <c r="B47" s="3" t="n">
        <v>54.72</v>
      </c>
      <c r="C47" s="3" t="n">
        <v>61.52</v>
      </c>
      <c r="D47" s="3" t="n">
        <v>127.4</v>
      </c>
      <c r="E47" s="3" t="n">
        <v>35.23</v>
      </c>
      <c r="F47" s="2" t="inlineStr">
        <is>
          <t>HOLD</t>
        </is>
      </c>
    </row>
    <row r="48">
      <c r="A48" s="2" t="n">
        <v>2020</v>
      </c>
      <c r="B48" s="3" t="n">
        <v>87.17</v>
      </c>
      <c r="C48" s="3" t="n">
        <v>88.37</v>
      </c>
      <c r="D48" s="3" t="n">
        <v>95.93000000000001</v>
      </c>
      <c r="E48" s="3" t="n">
        <v>43.64</v>
      </c>
      <c r="F48" s="2" t="inlineStr">
        <is>
          <t>HOLD</t>
        </is>
      </c>
    </row>
    <row r="49">
      <c r="A49" s="2" t="n">
        <v>2021</v>
      </c>
      <c r="B49" s="3" t="n">
        <v>11.97</v>
      </c>
      <c r="C49" s="3" t="n">
        <v>15.24</v>
      </c>
      <c r="D49" s="3" t="n">
        <v>15.31</v>
      </c>
      <c r="E49" s="3" t="n">
        <v>6.7</v>
      </c>
      <c r="F49" s="2" t="inlineStr">
        <is>
          <t>HOLD</t>
        </is>
      </c>
    </row>
  </sheetData>
  <conditionalFormatting sqref="B2:B49">
    <cfRule type="dataBar" priority="1">
      <dataBar showValue="1">
        <cfvo type="num" val="-100"/>
        <cfvo type="num" val="400"/>
        <color rgb="00638EC6"/>
      </dataBar>
    </cfRule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C2:C49">
    <cfRule type="dataBar" priority="4">
      <dataBar showValue="1">
        <cfvo type="num" val="-100"/>
        <cfvo type="num" val="400"/>
        <color rgb="00638EC6"/>
      </dataBar>
    </cfRule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D2:D49">
    <cfRule type="dataBar" priority="7">
      <dataBar showValue="1">
        <cfvo type="num" val="-100"/>
        <cfvo type="num" val="400"/>
        <color rgb="00638EC6"/>
      </dataBar>
    </cfRule>
    <cfRule type="cellIs" priority="8" operator="greaterThan" dxfId="0">
      <formula>0</formula>
    </cfRule>
    <cfRule type="cellIs" priority="9" operator="lessThan" dxfId="1">
      <formula>0</formula>
    </cfRule>
  </conditionalFormatting>
  <conditionalFormatting sqref="E2:E49">
    <cfRule type="dataBar" priority="10">
      <dataBar showValue="1">
        <cfvo type="num" val="-100"/>
        <cfvo type="num" val="400"/>
        <color rgb="00638EC6"/>
      </dataBar>
    </cfRule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  <col width="30" customWidth="1" min="4" max="4"/>
    <col width="16" customWidth="1" min="5" max="5"/>
  </cols>
  <sheetData>
    <row r="1">
      <c r="A1" s="4" t="inlineStr">
        <is>
          <t>Strategy Definitions &amp; Calculation Assumptions</t>
        </is>
      </c>
    </row>
    <row r="3">
      <c r="A3" s="5" t="inlineStr">
        <is>
          <t>Strategy Name</t>
        </is>
      </c>
      <c r="B3" s="5" t="inlineStr">
        <is>
          <t>Layer 1: DD Control</t>
        </is>
      </c>
      <c r="C3" s="5" t="inlineStr">
        <is>
          <t>Layer 2: Volatility Targeting</t>
        </is>
      </c>
      <c r="D3" s="5" t="inlineStr">
        <is>
          <t>Layer 3: Additional Filter</t>
        </is>
      </c>
      <c r="E3" s="5" t="inlineStr">
        <is>
          <t>Trade Count (47yr)</t>
        </is>
      </c>
    </row>
    <row r="4" ht="60" customHeight="1">
      <c r="A4" s="6" t="inlineStr">
        <is>
          <t>DD(-18/92)+VT(25%)+VolSpike(1.5x)</t>
        </is>
      </c>
      <c r="B4" s="6" t="inlineStr">
        <is>
          <t>Exit: -18% from 200d peak
Reentry: 92% recovery</t>
        </is>
      </c>
      <c r="C4" s="6" t="inlineStr">
        <is>
          <t>Target Vol: 25%
EWMA Span: 10
max_lev: 1.0</t>
        </is>
      </c>
      <c r="D4" s="6" t="inlineStr">
        <is>
          <t>Vol Spike Detection:
If today_vol/yesterday_vol &gt; 1.5x
→ Leverage × 0.5</t>
        </is>
      </c>
      <c r="E4" s="6" t="inlineStr">
        <is>
          <t>30</t>
        </is>
      </c>
    </row>
    <row r="5" ht="60" customHeight="1">
      <c r="A5" s="6" t="inlineStr">
        <is>
          <t>DD(-18/92)+VT(25%)
[Baseline]</t>
        </is>
      </c>
      <c r="B5" s="6" t="inlineStr">
        <is>
          <t>Exit: -18% from 200d peak
Reentry: 92% recovery</t>
        </is>
      </c>
      <c r="C5" s="6" t="inlineStr">
        <is>
          <t>Target Vol: 25%
EWMA Span: 10
max_lev: 1.0</t>
        </is>
      </c>
      <c r="D5" s="6" t="inlineStr">
        <is>
          <t>None</t>
        </is>
      </c>
      <c r="E5" s="6" t="inlineStr">
        <is>
          <t>30</t>
        </is>
      </c>
    </row>
    <row r="6" ht="60" customHeight="1">
      <c r="A6" s="6" t="inlineStr">
        <is>
          <t>Buy &amp; Hold 3x</t>
        </is>
      </c>
      <c r="B6" s="6" t="inlineStr">
        <is>
          <t>None (always invested)</t>
        </is>
      </c>
      <c r="C6" s="6" t="inlineStr">
        <is>
          <t>None (always 100%)</t>
        </is>
      </c>
      <c r="D6" s="6" t="inlineStr">
        <is>
          <t>None</t>
        </is>
      </c>
      <c r="E6" s="6" t="inlineStr">
        <is>
          <t>0</t>
        </is>
      </c>
    </row>
    <row r="7" ht="60" customHeight="1">
      <c r="A7" s="6" t="inlineStr">
        <is>
          <t>NASDAQ 1x
[Reference]</t>
        </is>
      </c>
      <c r="B7" s="6" t="inlineStr">
        <is>
          <t>N/A</t>
        </is>
      </c>
      <c r="C7" s="6" t="inlineStr">
        <is>
          <t>N/A</t>
        </is>
      </c>
      <c r="D7" s="6" t="inlineStr">
        <is>
          <t>N/A (unleveraged index)</t>
        </is>
      </c>
      <c r="E7" s="6" t="inlineStr">
        <is>
          <t>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7" t="inlineStr">
        <is>
          <t>Calculation Assumptions &amp; Parameters</t>
        </is>
      </c>
    </row>
    <row r="3">
      <c r="A3" s="8" t="inlineStr">
        <is>
          <t>Parameter</t>
        </is>
      </c>
      <c r="B3" s="8" t="inlineStr">
        <is>
          <t>Value / Description</t>
        </is>
      </c>
    </row>
    <row r="4">
      <c r="A4" s="9" t="inlineStr">
        <is>
          <t>Data Period</t>
        </is>
      </c>
      <c r="B4" s="10" t="inlineStr">
        <is>
          <t>1974-01-02 to 2021-05-07 (47 years, 11,943 trading days)</t>
        </is>
      </c>
    </row>
    <row r="5">
      <c r="A5" s="9" t="inlineStr">
        <is>
          <t>Data Source</t>
        </is>
      </c>
      <c r="B5" s="10" t="inlineStr">
        <is>
          <t>NASDAQ Composite Index (^IXIC) - Yahoo Finance</t>
        </is>
      </c>
    </row>
    <row r="6">
      <c r="A6" s="9" t="inlineStr">
        <is>
          <t>Base Leverage</t>
        </is>
      </c>
      <c r="B6" s="10" t="inlineStr">
        <is>
          <t>3x daily rebalancing (simulating TQQQ-like product)</t>
        </is>
      </c>
    </row>
    <row r="7">
      <c r="A7" s="9" t="inlineStr">
        <is>
          <t>Annual Cost</t>
        </is>
      </c>
      <c r="B7" s="10" t="inlineStr">
        <is>
          <t>0.9% (expense ratio, charged daily when invested)</t>
        </is>
      </c>
    </row>
    <row r="8">
      <c r="A8" s="9" t="inlineStr">
        <is>
          <t>Cash Return</t>
        </is>
      </c>
      <c r="B8" s="10" t="inlineStr">
        <is>
          <t>0% (no interest earned during CASH periods)</t>
        </is>
      </c>
    </row>
    <row r="9">
      <c r="A9" s="9" t="inlineStr">
        <is>
          <t>Risk-Free Rate</t>
        </is>
      </c>
      <c r="B9" s="10" t="inlineStr">
        <is>
          <t>0% (for Sharpe ratio calculation)</t>
        </is>
      </c>
    </row>
    <row r="10">
      <c r="A10" s="9" t="inlineStr">
        <is>
          <t>Trade Counting</t>
        </is>
      </c>
      <c r="B10" s="10" t="inlineStr">
        <is>
          <t>Binary state changes only (HOLD↔CASH transitions)</t>
        </is>
      </c>
    </row>
    <row r="11">
      <c r="A11" s="9" t="inlineStr">
        <is>
          <t>VT max_lev</t>
        </is>
      </c>
      <c r="B11" s="10" t="inlineStr">
        <is>
          <t>1.0 (effective leverage capped at 3x, not 9x)</t>
        </is>
      </c>
    </row>
    <row r="12">
      <c r="A12" s="9" t="inlineStr">
        <is>
          <t>EWMA Volatility</t>
        </is>
      </c>
      <c r="B12" s="10" t="inlineStr">
        <is>
          <t>Exponentially Weighted Moving Average, Span=10 days, annualized (×√252)</t>
        </is>
      </c>
    </row>
    <row r="13">
      <c r="A13" s="9" t="inlineStr">
        <is>
          <t>DD Lookback</t>
        </is>
      </c>
      <c r="B13" s="10" t="inlineStr">
        <is>
          <t>200 trading days for peak tracking</t>
        </is>
      </c>
    </row>
    <row r="14">
      <c r="A14" s="9" t="inlineStr">
        <is>
          <t>Vol Spike</t>
        </is>
      </c>
      <c r="B14" s="10" t="inlineStr">
        <is>
          <t>Compares today's EWMA vol to yesterday's; if ratio &gt; 1.5x, halve leverage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>
      <c r="A1" s="7" t="inlineStr">
        <is>
          <t>DD+VT+VolSpike(1.5x) Strategy - Detailed Logic</t>
        </is>
      </c>
    </row>
    <row r="3">
      <c r="A3" t="inlineStr"/>
      <c r="B3" t="inlineStr"/>
    </row>
    <row r="4">
      <c r="A4" s="11" t="inlineStr">
        <is>
          <t>【Layer 1: Drawdown (DD) Control】</t>
        </is>
      </c>
    </row>
    <row r="5">
      <c r="A5" s="12" t="inlineStr">
        <is>
          <t>Purpose</t>
        </is>
      </c>
      <c r="B5" t="inlineStr">
        <is>
          <t>Avoid catastrophic losses during market crashes</t>
        </is>
      </c>
    </row>
    <row r="6">
      <c r="A6" s="12" t="inlineStr">
        <is>
          <t>Mechanism</t>
        </is>
      </c>
      <c r="B6" t="inlineStr">
        <is>
          <t>Track rolling 200-day maximum price</t>
        </is>
      </c>
    </row>
    <row r="7">
      <c r="A7" s="12" t="inlineStr">
        <is>
          <t>Exit Signal</t>
        </is>
      </c>
      <c r="B7" t="inlineStr">
        <is>
          <t>If current_price / peak_200d &lt;= 0.82 → Switch to CASH</t>
        </is>
      </c>
    </row>
    <row r="8">
      <c r="A8" s="12" t="inlineStr">
        <is>
          <t>Reentry Signal</t>
        </is>
      </c>
      <c r="B8" t="inlineStr">
        <is>
          <t>If current_price / peak_200d &gt;= 0.92 → Switch to HOLD</t>
        </is>
      </c>
    </row>
    <row r="9">
      <c r="A9" t="inlineStr"/>
      <c r="B9" t="inlineStr"/>
    </row>
    <row r="10">
      <c r="A10" s="11" t="inlineStr">
        <is>
          <t>【Layer 2: Volatility Targeting (VT)】</t>
        </is>
      </c>
    </row>
    <row r="11">
      <c r="A11" s="12" t="inlineStr">
        <is>
          <t>Purpose</t>
        </is>
      </c>
      <c r="B11" t="inlineStr">
        <is>
          <t>Adjust position size based on market volatility</t>
        </is>
      </c>
    </row>
    <row r="12">
      <c r="A12" s="12" t="inlineStr">
        <is>
          <t>EWMA Vol</t>
        </is>
      </c>
      <c r="B12" t="inlineStr">
        <is>
          <t>ewma_vol = EWMA(daily_returns, span=10) × √252</t>
        </is>
      </c>
    </row>
    <row r="13">
      <c r="A13" s="12" t="inlineStr">
        <is>
          <t>Leverage Calc</t>
        </is>
      </c>
      <c r="B13" t="inlineStr">
        <is>
          <t>vt_leverage = min(0.25 / ewma_vol, 1.0)</t>
        </is>
      </c>
    </row>
    <row r="14">
      <c r="A14" s="12" t="inlineStr">
        <is>
          <t>Effect</t>
        </is>
      </c>
      <c r="B14" t="inlineStr">
        <is>
          <t>High vol → lower leverage, Low vol → higher leverage (capped at 1.0)</t>
        </is>
      </c>
    </row>
    <row r="15">
      <c r="A15" t="inlineStr"/>
      <c r="B15" t="inlineStr"/>
    </row>
    <row r="16">
      <c r="A16" s="11" t="inlineStr">
        <is>
          <t>【Layer 3: Vol Spike Detection】</t>
        </is>
      </c>
    </row>
    <row r="17">
      <c r="A17" s="12" t="inlineStr">
        <is>
          <t>Purpose</t>
        </is>
      </c>
      <c r="B17" t="inlineStr">
        <is>
          <t>Additional protection against sudden volatility increases</t>
        </is>
      </c>
    </row>
    <row r="18">
      <c r="A18" s="12" t="inlineStr">
        <is>
          <t>Detection</t>
        </is>
      </c>
      <c r="B18" t="inlineStr">
        <is>
          <t>vol_ratio = today_ewma_vol / yesterday_ewma_vol</t>
        </is>
      </c>
    </row>
    <row r="19">
      <c r="A19" s="12" t="inlineStr">
        <is>
          <t>Condition</t>
        </is>
      </c>
      <c r="B19" t="inlineStr">
        <is>
          <t>If vol_ratio &gt; 1.5 → Spike detected</t>
        </is>
      </c>
    </row>
    <row r="20">
      <c r="A20" s="12" t="inlineStr">
        <is>
          <t>Action</t>
        </is>
      </c>
      <c r="B20" t="inlineStr">
        <is>
          <t>If spike: final_leverage = vt_leverage × 0.5</t>
        </is>
      </c>
    </row>
    <row r="21">
      <c r="A21" t="inlineStr"/>
      <c r="B21" t="inlineStr"/>
    </row>
    <row r="22">
      <c r="A22" s="11" t="inlineStr">
        <is>
          <t>【Final Position Calculation】</t>
        </is>
      </c>
    </row>
    <row r="23">
      <c r="A23" s="12" t="inlineStr">
        <is>
          <t>Formula</t>
        </is>
      </c>
      <c r="B23" t="inlineStr">
        <is>
          <t>final_leverage = dd_signal × vt_leverage × (0.5 if vol_spike else 1.0)</t>
        </is>
      </c>
    </row>
    <row r="24">
      <c r="A24" s="12" t="inlineStr">
        <is>
          <t>Range</t>
        </is>
      </c>
      <c r="B24" t="inlineStr">
        <is>
          <t>0 (CASH) to 1.0 (max position in 3x product)</t>
        </is>
      </c>
    </row>
    <row r="25">
      <c r="A25" s="12" t="inlineStr">
        <is>
          <t>Effective Lev</t>
        </is>
      </c>
      <c r="B25" t="inlineStr">
        <is>
          <t>0x to 3x (final_leverage × 3)</t>
        </is>
      </c>
    </row>
  </sheetData>
  <mergeCells count="5">
    <mergeCell ref="A4:B4"/>
    <mergeCell ref="A16:B16"/>
    <mergeCell ref="A10:B10"/>
    <mergeCell ref="A1:B1"/>
    <mergeCell ref="A22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7" t="inlineStr">
        <is>
          <t>Performance Summary (1974-2021)</t>
        </is>
      </c>
    </row>
    <row r="3">
      <c r="A3" s="13" t="inlineStr">
        <is>
          <t>Metric</t>
        </is>
      </c>
      <c r="B3" s="13" t="inlineStr">
        <is>
          <t>DD+VT+VolSpike(1.5x)</t>
        </is>
      </c>
      <c r="C3" s="13" t="inlineStr">
        <is>
          <t>DD(-18/92)+VT(25%)</t>
        </is>
      </c>
      <c r="D3" s="13" t="inlineStr">
        <is>
          <t>Buy&amp;Hold 3x</t>
        </is>
      </c>
      <c r="E3" s="13" t="inlineStr">
        <is>
          <t>NASDAQ 1x</t>
        </is>
      </c>
    </row>
    <row r="4">
      <c r="A4" s="14" t="inlineStr">
        <is>
          <t>Final NAV ($1 start)</t>
        </is>
      </c>
      <c r="B4" s="2" t="inlineStr">
        <is>
          <t>$468,850</t>
        </is>
      </c>
      <c r="C4" s="2" t="inlineStr">
        <is>
          <t>$252,614</t>
        </is>
      </c>
      <c r="D4" s="2" t="inlineStr">
        <is>
          <t>$5,524</t>
        </is>
      </c>
      <c r="E4" s="2" t="inlineStr">
        <is>
          <t>$149</t>
        </is>
      </c>
    </row>
    <row r="5">
      <c r="A5" s="14" t="inlineStr">
        <is>
          <t>CAGR</t>
        </is>
      </c>
      <c r="B5" s="2" t="inlineStr">
        <is>
          <t>32.03%</t>
        </is>
      </c>
      <c r="C5" s="2" t="inlineStr">
        <is>
          <t>30.30%</t>
        </is>
      </c>
      <c r="D5" s="2" t="inlineStr">
        <is>
          <t>20.12%</t>
        </is>
      </c>
      <c r="E5" s="2" t="inlineStr">
        <is>
          <t>11.23%</t>
        </is>
      </c>
    </row>
    <row r="6">
      <c r="A6" s="14" t="inlineStr">
        <is>
          <t>Best Year</t>
        </is>
      </c>
      <c r="B6" s="2" t="inlineStr">
        <is>
          <t>+312.4%</t>
        </is>
      </c>
      <c r="C6" s="2" t="inlineStr">
        <is>
          <t>+334.2%</t>
        </is>
      </c>
      <c r="D6" s="2" t="inlineStr">
        <is>
          <t>+405.0%</t>
        </is>
      </c>
      <c r="E6" s="2" t="inlineStr">
        <is>
          <t>+85.6%</t>
        </is>
      </c>
    </row>
    <row r="7">
      <c r="A7" s="14" t="inlineStr">
        <is>
          <t>Worst Year</t>
        </is>
      </c>
      <c r="B7" s="2" t="inlineStr">
        <is>
          <t>-44.4%</t>
        </is>
      </c>
      <c r="C7" s="2" t="inlineStr">
        <is>
          <t>-44.4%</t>
        </is>
      </c>
      <c r="D7" s="2" t="inlineStr">
        <is>
          <t>-89.2%</t>
        </is>
      </c>
      <c r="E7" s="2" t="inlineStr">
        <is>
          <t>-40.5%</t>
        </is>
      </c>
    </row>
    <row r="8">
      <c r="A8" s="14" t="inlineStr">
        <is>
          <t>Positive Years</t>
        </is>
      </c>
      <c r="B8" s="2" t="inlineStr">
        <is>
          <t>34/48</t>
        </is>
      </c>
      <c r="C8" s="2" t="inlineStr">
        <is>
          <t>33/48</t>
        </is>
      </c>
      <c r="D8" s="2" t="inlineStr">
        <is>
          <t>35/48</t>
        </is>
      </c>
      <c r="E8" s="2" t="inlineStr">
        <is>
          <t>36/48</t>
        </is>
      </c>
    </row>
    <row r="9">
      <c r="A9" s="14" t="inlineStr">
        <is>
          <t>Win Rate</t>
        </is>
      </c>
      <c r="B9" s="2" t="inlineStr">
        <is>
          <t>70.8%</t>
        </is>
      </c>
      <c r="C9" s="2" t="inlineStr">
        <is>
          <t>68.8%</t>
        </is>
      </c>
      <c r="D9" s="2" t="inlineStr">
        <is>
          <t>72.9%</t>
        </is>
      </c>
      <c r="E9" s="2" t="inlineStr">
        <is>
          <t>75.0%</t>
        </is>
      </c>
    </row>
    <row r="10">
      <c r="A10" s="14" t="inlineStr">
        <is>
          <t>Avg Annual Return</t>
        </is>
      </c>
      <c r="B10" s="2" t="inlineStr">
        <is>
          <t>+43.5%</t>
        </is>
      </c>
      <c r="C10" s="2" t="inlineStr">
        <is>
          <t>+42.5%</t>
        </is>
      </c>
      <c r="D10" s="2" t="inlineStr">
        <is>
          <t>+50.6%</t>
        </is>
      </c>
      <c r="E10" s="2" t="inlineStr">
        <is>
          <t>+13.9%</t>
        </is>
      </c>
    </row>
    <row r="11">
      <c r="A11" s="14" t="inlineStr">
        <is>
          <t>Median Annual Return</t>
        </is>
      </c>
      <c r="B11" s="2" t="inlineStr">
        <is>
          <t>+29.6%</t>
        </is>
      </c>
      <c r="C11" s="2" t="inlineStr">
        <is>
          <t>+29.7%</t>
        </is>
      </c>
      <c r="D11" s="2" t="inlineStr">
        <is>
          <t>+42.3%</t>
        </is>
      </c>
      <c r="E11" s="2" t="inlineStr">
        <is>
          <t>+15.1%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2026-02-05T11:00:01Z</dcterms:created>
  <dcterms:modified xmlns:dcterms="http://purl.org/dc/terms/" xmlns:xsi="http://www.w3.org/2001/XMLSchema-instance" xsi:type="dcterms:W3CDTF">2026-02-05T11:00:01Z</dcterms:modified>
</cp:coreProperties>
</file>